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rielio Fernandes\Documents\Controle de Insumos Agrícolas\"/>
    </mc:Choice>
  </mc:AlternateContent>
  <xr:revisionPtr revIDLastSave="0" documentId="13_ncr:1_{CDF9900E-4E1B-498C-9626-1E81C460C10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tens" sheetId="1" r:id="rId1"/>
    <sheet name="Entradas" sheetId="2" r:id="rId2"/>
    <sheet name="Saidas" sheetId="3" r:id="rId3"/>
    <sheet name="Pedidos_Compra" sheetId="5" r:id="rId4"/>
    <sheet name="Estoque" sheetId="4" r:id="rId5"/>
  </sheets>
  <definedNames>
    <definedName name="_xlnm._FilterDatabase" localSheetId="1" hidden="1">Entradas!$A$1:$K$1</definedName>
    <definedName name="_xlnm._FilterDatabase" localSheetId="4" hidden="1">Estoque!$A$1:$N$1</definedName>
    <definedName name="_xlnm._FilterDatabase" localSheetId="0" hidden="1">Itens!$A$1:$E$1</definedName>
    <definedName name="_xlnm._FilterDatabase" localSheetId="2" hidden="1">Saidas!$A$1:$L$71</definedName>
  </definedNames>
  <calcPr calcId="181029"/>
</workbook>
</file>

<file path=xl/calcChain.xml><?xml version="1.0" encoding="utf-8"?>
<calcChain xmlns="http://schemas.openxmlformats.org/spreadsheetml/2006/main">
  <c r="K2" i="5" l="1"/>
  <c r="K3" i="5"/>
  <c r="K4" i="5"/>
  <c r="K5" i="5"/>
  <c r="K6" i="5"/>
  <c r="K7" i="5"/>
  <c r="K8" i="5"/>
  <c r="K9" i="5"/>
  <c r="K10" i="5"/>
  <c r="K11" i="5"/>
  <c r="K12" i="5"/>
  <c r="K13" i="5"/>
  <c r="K14" i="5"/>
  <c r="K15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2" i="4"/>
  <c r="I2" i="3"/>
  <c r="J2" i="3" s="1"/>
  <c r="I3" i="3"/>
  <c r="J3" i="3" s="1"/>
  <c r="I4" i="3"/>
  <c r="J4" i="3" s="1"/>
  <c r="I5" i="3"/>
  <c r="J5" i="3" s="1"/>
  <c r="I6" i="3"/>
  <c r="J6" i="3" s="1"/>
  <c r="I7" i="3"/>
  <c r="J7" i="3" s="1"/>
  <c r="I8" i="3"/>
  <c r="J8" i="3" s="1"/>
  <c r="I9" i="3"/>
  <c r="J9" i="3" s="1"/>
  <c r="I10" i="3"/>
  <c r="J10" i="3" s="1"/>
  <c r="I11" i="3"/>
  <c r="J11" i="3" s="1"/>
  <c r="I12" i="3"/>
  <c r="J12" i="3" s="1"/>
  <c r="I13" i="3"/>
  <c r="J13" i="3" s="1"/>
  <c r="I14" i="3"/>
  <c r="J14" i="3" s="1"/>
  <c r="I15" i="3"/>
  <c r="J15" i="3" s="1"/>
  <c r="I16" i="3"/>
  <c r="J16" i="3" s="1"/>
  <c r="I17" i="3"/>
  <c r="J17" i="3" s="1"/>
  <c r="I18" i="3"/>
  <c r="J18" i="3" s="1"/>
  <c r="I19" i="3"/>
  <c r="J19" i="3" s="1"/>
  <c r="I20" i="3"/>
  <c r="J20" i="3" s="1"/>
  <c r="I21" i="3"/>
  <c r="J21" i="3" s="1"/>
  <c r="I22" i="3"/>
  <c r="J22" i="3" s="1"/>
  <c r="I23" i="3"/>
  <c r="J23" i="3" s="1"/>
  <c r="I24" i="3"/>
  <c r="J24" i="3" s="1"/>
  <c r="I25" i="3"/>
  <c r="J25" i="3" s="1"/>
  <c r="I26" i="3"/>
  <c r="J26" i="3" s="1"/>
  <c r="I27" i="3"/>
  <c r="J27" i="3" s="1"/>
  <c r="I28" i="3"/>
  <c r="J28" i="3" s="1"/>
  <c r="I29" i="3"/>
  <c r="J29" i="3" s="1"/>
  <c r="I30" i="3"/>
  <c r="J30" i="3" s="1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37" i="3"/>
  <c r="J37" i="3" s="1"/>
  <c r="I38" i="3"/>
  <c r="J38" i="3" s="1"/>
  <c r="I39" i="3"/>
  <c r="J39" i="3" s="1"/>
  <c r="I40" i="3"/>
  <c r="J40" i="3" s="1"/>
  <c r="I41" i="3"/>
  <c r="J41" i="3" s="1"/>
  <c r="I42" i="3"/>
  <c r="J42" i="3" s="1"/>
  <c r="I43" i="3"/>
  <c r="J43" i="3" s="1"/>
  <c r="I44" i="3"/>
  <c r="J44" i="3" s="1"/>
  <c r="I45" i="3"/>
  <c r="J45" i="3" s="1"/>
  <c r="I46" i="3"/>
  <c r="J46" i="3" s="1"/>
  <c r="I47" i="3"/>
  <c r="J47" i="3" s="1"/>
  <c r="I48" i="3"/>
  <c r="J48" i="3" s="1"/>
  <c r="I49" i="3"/>
  <c r="J49" i="3" s="1"/>
  <c r="I50" i="3"/>
  <c r="J50" i="3" s="1"/>
  <c r="I51" i="3"/>
  <c r="J51" i="3" s="1"/>
  <c r="I52" i="3"/>
  <c r="J52" i="3" s="1"/>
  <c r="I53" i="3"/>
  <c r="J53" i="3" s="1"/>
  <c r="I54" i="3"/>
  <c r="J54" i="3" s="1"/>
  <c r="I55" i="3"/>
  <c r="J55" i="3" s="1"/>
  <c r="I56" i="3"/>
  <c r="J56" i="3" s="1"/>
  <c r="I57" i="3"/>
  <c r="J57" i="3" s="1"/>
  <c r="I58" i="3"/>
  <c r="J58" i="3" s="1"/>
  <c r="I59" i="3"/>
  <c r="J59" i="3" s="1"/>
  <c r="I60" i="3"/>
  <c r="J60" i="3" s="1"/>
  <c r="I61" i="3"/>
  <c r="J61" i="3" s="1"/>
  <c r="I62" i="3"/>
  <c r="J62" i="3" s="1"/>
  <c r="I63" i="3"/>
  <c r="J63" i="3" s="1"/>
  <c r="I64" i="3"/>
  <c r="J64" i="3" s="1"/>
  <c r="I65" i="3"/>
  <c r="J65" i="3" s="1"/>
  <c r="I66" i="3"/>
  <c r="J66" i="3" s="1"/>
  <c r="I67" i="3"/>
  <c r="J67" i="3" s="1"/>
  <c r="I68" i="3"/>
  <c r="J68" i="3" s="1"/>
  <c r="I69" i="3"/>
  <c r="J69" i="3" s="1"/>
  <c r="I70" i="3"/>
  <c r="J70" i="3" s="1"/>
  <c r="I71" i="3"/>
  <c r="J71" i="3" s="1"/>
  <c r="J15" i="2"/>
  <c r="J121" i="5"/>
  <c r="M121" i="5" s="1"/>
  <c r="G121" i="5"/>
  <c r="F121" i="5"/>
  <c r="E121" i="5"/>
  <c r="J120" i="5"/>
  <c r="M120" i="5" s="1"/>
  <c r="G120" i="5"/>
  <c r="F120" i="5"/>
  <c r="E120" i="5"/>
  <c r="J119" i="5"/>
  <c r="M119" i="5" s="1"/>
  <c r="G119" i="5"/>
  <c r="F119" i="5"/>
  <c r="E119" i="5"/>
  <c r="J118" i="5"/>
  <c r="M118" i="5" s="1"/>
  <c r="G118" i="5"/>
  <c r="F118" i="5"/>
  <c r="E118" i="5"/>
  <c r="J117" i="5"/>
  <c r="M117" i="5" s="1"/>
  <c r="G117" i="5"/>
  <c r="F117" i="5"/>
  <c r="E117" i="5"/>
  <c r="J116" i="5"/>
  <c r="M116" i="5" s="1"/>
  <c r="G116" i="5"/>
  <c r="F116" i="5"/>
  <c r="E116" i="5"/>
  <c r="J115" i="5"/>
  <c r="M115" i="5" s="1"/>
  <c r="G115" i="5"/>
  <c r="F115" i="5"/>
  <c r="E115" i="5"/>
  <c r="J114" i="5"/>
  <c r="M114" i="5" s="1"/>
  <c r="G114" i="5"/>
  <c r="F114" i="5"/>
  <c r="E114" i="5"/>
  <c r="J113" i="5"/>
  <c r="M113" i="5" s="1"/>
  <c r="G113" i="5"/>
  <c r="F113" i="5"/>
  <c r="E113" i="5"/>
  <c r="J112" i="5"/>
  <c r="M112" i="5" s="1"/>
  <c r="G112" i="5"/>
  <c r="F112" i="5"/>
  <c r="E112" i="5"/>
  <c r="J111" i="5"/>
  <c r="M111" i="5" s="1"/>
  <c r="G111" i="5"/>
  <c r="F111" i="5"/>
  <c r="E111" i="5"/>
  <c r="J110" i="5"/>
  <c r="M110" i="5" s="1"/>
  <c r="G110" i="5"/>
  <c r="F110" i="5"/>
  <c r="E110" i="5"/>
  <c r="J109" i="5"/>
  <c r="M109" i="5" s="1"/>
  <c r="G109" i="5"/>
  <c r="F109" i="5"/>
  <c r="E109" i="5"/>
  <c r="J108" i="5"/>
  <c r="M108" i="5" s="1"/>
  <c r="G108" i="5"/>
  <c r="F108" i="5"/>
  <c r="E108" i="5"/>
  <c r="J107" i="5"/>
  <c r="M107" i="5" s="1"/>
  <c r="G107" i="5"/>
  <c r="F107" i="5"/>
  <c r="E107" i="5"/>
  <c r="M106" i="5"/>
  <c r="J106" i="5"/>
  <c r="G106" i="5"/>
  <c r="F106" i="5"/>
  <c r="E106" i="5"/>
  <c r="J105" i="5"/>
  <c r="M105" i="5" s="1"/>
  <c r="G105" i="5"/>
  <c r="F105" i="5"/>
  <c r="E105" i="5"/>
  <c r="J104" i="5"/>
  <c r="M104" i="5" s="1"/>
  <c r="G104" i="5"/>
  <c r="F104" i="5"/>
  <c r="E104" i="5"/>
  <c r="J103" i="5"/>
  <c r="M103" i="5" s="1"/>
  <c r="G103" i="5"/>
  <c r="F103" i="5"/>
  <c r="E103" i="5"/>
  <c r="J102" i="5"/>
  <c r="M102" i="5" s="1"/>
  <c r="G102" i="5"/>
  <c r="F102" i="5"/>
  <c r="E102" i="5"/>
  <c r="J101" i="5"/>
  <c r="M101" i="5" s="1"/>
  <c r="G101" i="5"/>
  <c r="F101" i="5"/>
  <c r="E101" i="5"/>
  <c r="M100" i="5"/>
  <c r="J100" i="5"/>
  <c r="G100" i="5"/>
  <c r="F100" i="5"/>
  <c r="E100" i="5"/>
  <c r="J99" i="5"/>
  <c r="M99" i="5" s="1"/>
  <c r="G99" i="5"/>
  <c r="F99" i="5"/>
  <c r="E99" i="5"/>
  <c r="J98" i="5"/>
  <c r="M98" i="5" s="1"/>
  <c r="G98" i="5"/>
  <c r="F98" i="5"/>
  <c r="E98" i="5"/>
  <c r="J97" i="5"/>
  <c r="M97" i="5" s="1"/>
  <c r="G97" i="5"/>
  <c r="F97" i="5"/>
  <c r="E97" i="5"/>
  <c r="J96" i="5"/>
  <c r="M96" i="5" s="1"/>
  <c r="G96" i="5"/>
  <c r="F96" i="5"/>
  <c r="E96" i="5"/>
  <c r="J95" i="5"/>
  <c r="M95" i="5" s="1"/>
  <c r="G95" i="5"/>
  <c r="F95" i="5"/>
  <c r="E95" i="5"/>
  <c r="J94" i="5"/>
  <c r="M94" i="5" s="1"/>
  <c r="G94" i="5"/>
  <c r="F94" i="5"/>
  <c r="E94" i="5"/>
  <c r="J93" i="5"/>
  <c r="M93" i="5" s="1"/>
  <c r="G93" i="5"/>
  <c r="F93" i="5"/>
  <c r="E93" i="5"/>
  <c r="J92" i="5"/>
  <c r="M92" i="5" s="1"/>
  <c r="G92" i="5"/>
  <c r="F92" i="5"/>
  <c r="E92" i="5"/>
  <c r="J91" i="5"/>
  <c r="M91" i="5" s="1"/>
  <c r="G91" i="5"/>
  <c r="F91" i="5"/>
  <c r="E91" i="5"/>
  <c r="J90" i="5"/>
  <c r="M90" i="5" s="1"/>
  <c r="G90" i="5"/>
  <c r="F90" i="5"/>
  <c r="E90" i="5"/>
  <c r="J89" i="5"/>
  <c r="M89" i="5" s="1"/>
  <c r="G89" i="5"/>
  <c r="F89" i="5"/>
  <c r="E89" i="5"/>
  <c r="J88" i="5"/>
  <c r="M88" i="5" s="1"/>
  <c r="G88" i="5"/>
  <c r="F88" i="5"/>
  <c r="E88" i="5"/>
  <c r="J87" i="5"/>
  <c r="M87" i="5" s="1"/>
  <c r="G87" i="5"/>
  <c r="F87" i="5"/>
  <c r="E87" i="5"/>
  <c r="M86" i="5"/>
  <c r="J86" i="5"/>
  <c r="G86" i="5"/>
  <c r="F86" i="5"/>
  <c r="E86" i="5"/>
  <c r="J85" i="5"/>
  <c r="M85" i="5" s="1"/>
  <c r="G85" i="5"/>
  <c r="F85" i="5"/>
  <c r="E85" i="5"/>
  <c r="J84" i="5"/>
  <c r="M84" i="5" s="1"/>
  <c r="G84" i="5"/>
  <c r="F84" i="5"/>
  <c r="E84" i="5"/>
  <c r="J83" i="5"/>
  <c r="M83" i="5" s="1"/>
  <c r="G83" i="5"/>
  <c r="F83" i="5"/>
  <c r="E83" i="5"/>
  <c r="J82" i="5"/>
  <c r="M82" i="5" s="1"/>
  <c r="G82" i="5"/>
  <c r="F82" i="5"/>
  <c r="E82" i="5"/>
  <c r="J81" i="5"/>
  <c r="M81" i="5" s="1"/>
  <c r="G81" i="5"/>
  <c r="F81" i="5"/>
  <c r="E81" i="5"/>
  <c r="J80" i="5"/>
  <c r="M80" i="5" s="1"/>
  <c r="G80" i="5"/>
  <c r="F80" i="5"/>
  <c r="E80" i="5"/>
  <c r="J79" i="5"/>
  <c r="M79" i="5" s="1"/>
  <c r="G79" i="5"/>
  <c r="F79" i="5"/>
  <c r="E79" i="5"/>
  <c r="J78" i="5"/>
  <c r="M78" i="5" s="1"/>
  <c r="G78" i="5"/>
  <c r="F78" i="5"/>
  <c r="E78" i="5"/>
  <c r="J77" i="5"/>
  <c r="M77" i="5" s="1"/>
  <c r="G77" i="5"/>
  <c r="F77" i="5"/>
  <c r="E77" i="5"/>
  <c r="J76" i="5"/>
  <c r="M76" i="5" s="1"/>
  <c r="G76" i="5"/>
  <c r="F76" i="5"/>
  <c r="E76" i="5"/>
  <c r="J75" i="5"/>
  <c r="M75" i="5" s="1"/>
  <c r="G75" i="5"/>
  <c r="F75" i="5"/>
  <c r="E75" i="5"/>
  <c r="J74" i="5"/>
  <c r="M74" i="5" s="1"/>
  <c r="G74" i="5"/>
  <c r="F74" i="5"/>
  <c r="E74" i="5"/>
  <c r="J73" i="5"/>
  <c r="M73" i="5" s="1"/>
  <c r="G73" i="5"/>
  <c r="F73" i="5"/>
  <c r="E73" i="5"/>
  <c r="J72" i="5"/>
  <c r="M72" i="5" s="1"/>
  <c r="G72" i="5"/>
  <c r="F72" i="5"/>
  <c r="E72" i="5"/>
  <c r="J71" i="5"/>
  <c r="M71" i="5" s="1"/>
  <c r="G71" i="5"/>
  <c r="F71" i="5"/>
  <c r="E71" i="5"/>
  <c r="M70" i="5"/>
  <c r="J70" i="5"/>
  <c r="G70" i="5"/>
  <c r="F70" i="5"/>
  <c r="E70" i="5"/>
  <c r="J69" i="5"/>
  <c r="M69" i="5" s="1"/>
  <c r="G69" i="5"/>
  <c r="F69" i="5"/>
  <c r="E69" i="5"/>
  <c r="J68" i="5"/>
  <c r="M68" i="5" s="1"/>
  <c r="G68" i="5"/>
  <c r="F68" i="5"/>
  <c r="E68" i="5"/>
  <c r="J67" i="5"/>
  <c r="M67" i="5" s="1"/>
  <c r="G67" i="5"/>
  <c r="F67" i="5"/>
  <c r="E67" i="5"/>
  <c r="J66" i="5"/>
  <c r="M66" i="5" s="1"/>
  <c r="G66" i="5"/>
  <c r="F66" i="5"/>
  <c r="E66" i="5"/>
  <c r="J65" i="5"/>
  <c r="M65" i="5" s="1"/>
  <c r="G65" i="5"/>
  <c r="F65" i="5"/>
  <c r="E65" i="5"/>
  <c r="M64" i="5"/>
  <c r="J64" i="5"/>
  <c r="G64" i="5"/>
  <c r="F64" i="5"/>
  <c r="E64" i="5"/>
  <c r="J63" i="5"/>
  <c r="M63" i="5" s="1"/>
  <c r="G63" i="5"/>
  <c r="F63" i="5"/>
  <c r="E63" i="5"/>
  <c r="J62" i="5"/>
  <c r="M62" i="5" s="1"/>
  <c r="G62" i="5"/>
  <c r="F62" i="5"/>
  <c r="E62" i="5"/>
  <c r="J61" i="5"/>
  <c r="M61" i="5" s="1"/>
  <c r="G61" i="5"/>
  <c r="F61" i="5"/>
  <c r="E61" i="5"/>
  <c r="J60" i="5"/>
  <c r="M60" i="5" s="1"/>
  <c r="G60" i="5"/>
  <c r="F60" i="5"/>
  <c r="E60" i="5"/>
  <c r="J59" i="5"/>
  <c r="M59" i="5" s="1"/>
  <c r="G59" i="5"/>
  <c r="F59" i="5"/>
  <c r="E59" i="5"/>
  <c r="J58" i="5"/>
  <c r="M58" i="5" s="1"/>
  <c r="G58" i="5"/>
  <c r="F58" i="5"/>
  <c r="E58" i="5"/>
  <c r="J57" i="5"/>
  <c r="M57" i="5" s="1"/>
  <c r="G57" i="5"/>
  <c r="F57" i="5"/>
  <c r="E57" i="5"/>
  <c r="J56" i="5"/>
  <c r="M56" i="5" s="1"/>
  <c r="G56" i="5"/>
  <c r="F56" i="5"/>
  <c r="E56" i="5"/>
  <c r="J55" i="5"/>
  <c r="M55" i="5" s="1"/>
  <c r="G55" i="5"/>
  <c r="F55" i="5"/>
  <c r="E55" i="5"/>
  <c r="J54" i="5"/>
  <c r="M54" i="5" s="1"/>
  <c r="G54" i="5"/>
  <c r="F54" i="5"/>
  <c r="E54" i="5"/>
  <c r="J53" i="5"/>
  <c r="M53" i="5" s="1"/>
  <c r="G53" i="5"/>
  <c r="F53" i="5"/>
  <c r="E53" i="5"/>
  <c r="J52" i="5"/>
  <c r="M52" i="5" s="1"/>
  <c r="G52" i="5"/>
  <c r="F52" i="5"/>
  <c r="E52" i="5"/>
  <c r="J51" i="5"/>
  <c r="M51" i="5" s="1"/>
  <c r="G51" i="5"/>
  <c r="F51" i="5"/>
  <c r="E51" i="5"/>
  <c r="M50" i="5"/>
  <c r="J50" i="5"/>
  <c r="G50" i="5"/>
  <c r="F50" i="5"/>
  <c r="E50" i="5"/>
  <c r="J49" i="5"/>
  <c r="M49" i="5" s="1"/>
  <c r="G49" i="5"/>
  <c r="F49" i="5"/>
  <c r="E49" i="5"/>
  <c r="J48" i="5"/>
  <c r="M48" i="5" s="1"/>
  <c r="G48" i="5"/>
  <c r="F48" i="5"/>
  <c r="E48" i="5"/>
  <c r="J47" i="5"/>
  <c r="M47" i="5" s="1"/>
  <c r="G47" i="5"/>
  <c r="F47" i="5"/>
  <c r="E47" i="5"/>
  <c r="J46" i="5"/>
  <c r="M46" i="5" s="1"/>
  <c r="G46" i="5"/>
  <c r="F46" i="5"/>
  <c r="E46" i="5"/>
  <c r="J45" i="5"/>
  <c r="M45" i="5" s="1"/>
  <c r="G45" i="5"/>
  <c r="F45" i="5"/>
  <c r="E45" i="5"/>
  <c r="J44" i="5"/>
  <c r="M44" i="5" s="1"/>
  <c r="G44" i="5"/>
  <c r="F44" i="5"/>
  <c r="E44" i="5"/>
  <c r="J43" i="5"/>
  <c r="M43" i="5" s="1"/>
  <c r="G43" i="5"/>
  <c r="F43" i="5"/>
  <c r="E43" i="5"/>
  <c r="J42" i="5"/>
  <c r="M42" i="5" s="1"/>
  <c r="G42" i="5"/>
  <c r="F42" i="5"/>
  <c r="E42" i="5"/>
  <c r="J41" i="5"/>
  <c r="M41" i="5" s="1"/>
  <c r="G41" i="5"/>
  <c r="F41" i="5"/>
  <c r="E41" i="5"/>
  <c r="J40" i="5"/>
  <c r="M40" i="5" s="1"/>
  <c r="G40" i="5"/>
  <c r="F40" i="5"/>
  <c r="E40" i="5"/>
  <c r="J39" i="5"/>
  <c r="M39" i="5" s="1"/>
  <c r="G39" i="5"/>
  <c r="F39" i="5"/>
  <c r="E39" i="5"/>
  <c r="M38" i="5"/>
  <c r="J38" i="5"/>
  <c r="G38" i="5"/>
  <c r="F38" i="5"/>
  <c r="E38" i="5"/>
  <c r="J37" i="5"/>
  <c r="M37" i="5" s="1"/>
  <c r="G37" i="5"/>
  <c r="F37" i="5"/>
  <c r="E37" i="5"/>
  <c r="J36" i="5"/>
  <c r="M36" i="5" s="1"/>
  <c r="G36" i="5"/>
  <c r="F36" i="5"/>
  <c r="E36" i="5"/>
  <c r="J35" i="5"/>
  <c r="M35" i="5" s="1"/>
  <c r="G35" i="5"/>
  <c r="F35" i="5"/>
  <c r="E35" i="5"/>
  <c r="J34" i="5"/>
  <c r="M34" i="5" s="1"/>
  <c r="G34" i="5"/>
  <c r="F34" i="5"/>
  <c r="E34" i="5"/>
  <c r="J33" i="5"/>
  <c r="M33" i="5" s="1"/>
  <c r="G33" i="5"/>
  <c r="F33" i="5"/>
  <c r="E33" i="5"/>
  <c r="J32" i="5"/>
  <c r="M32" i="5" s="1"/>
  <c r="G32" i="5"/>
  <c r="F32" i="5"/>
  <c r="E32" i="5"/>
  <c r="J31" i="5"/>
  <c r="M31" i="5" s="1"/>
  <c r="G31" i="5"/>
  <c r="F31" i="5"/>
  <c r="E31" i="5"/>
  <c r="J30" i="5"/>
  <c r="M30" i="5" s="1"/>
  <c r="G30" i="5"/>
  <c r="F30" i="5"/>
  <c r="E30" i="5"/>
  <c r="J29" i="5"/>
  <c r="M29" i="5" s="1"/>
  <c r="G29" i="5"/>
  <c r="F29" i="5"/>
  <c r="E29" i="5"/>
  <c r="M28" i="5"/>
  <c r="J28" i="5"/>
  <c r="G28" i="5"/>
  <c r="F28" i="5"/>
  <c r="E28" i="5"/>
  <c r="J27" i="5"/>
  <c r="M27" i="5" s="1"/>
  <c r="G27" i="5"/>
  <c r="F27" i="5"/>
  <c r="E27" i="5"/>
  <c r="J26" i="5"/>
  <c r="M26" i="5" s="1"/>
  <c r="G26" i="5"/>
  <c r="F26" i="5"/>
  <c r="E26" i="5"/>
  <c r="J25" i="5"/>
  <c r="M25" i="5" s="1"/>
  <c r="G25" i="5"/>
  <c r="F25" i="5"/>
  <c r="E25" i="5"/>
  <c r="J24" i="5"/>
  <c r="M24" i="5" s="1"/>
  <c r="G24" i="5"/>
  <c r="F24" i="5"/>
  <c r="E24" i="5"/>
  <c r="J23" i="5"/>
  <c r="M23" i="5" s="1"/>
  <c r="G23" i="5"/>
  <c r="F23" i="5"/>
  <c r="E23" i="5"/>
  <c r="J22" i="5"/>
  <c r="M22" i="5" s="1"/>
  <c r="G22" i="5"/>
  <c r="F22" i="5"/>
  <c r="E22" i="5"/>
  <c r="J21" i="5"/>
  <c r="M21" i="5" s="1"/>
  <c r="G21" i="5"/>
  <c r="F21" i="5"/>
  <c r="E21" i="5"/>
  <c r="J20" i="5"/>
  <c r="M20" i="5" s="1"/>
  <c r="G20" i="5"/>
  <c r="F20" i="5"/>
  <c r="E20" i="5"/>
  <c r="J19" i="5"/>
  <c r="M19" i="5" s="1"/>
  <c r="G19" i="5"/>
  <c r="F19" i="5"/>
  <c r="E19" i="5"/>
  <c r="J18" i="5"/>
  <c r="M18" i="5" s="1"/>
  <c r="G18" i="5"/>
  <c r="F18" i="5"/>
  <c r="E18" i="5"/>
  <c r="J17" i="5"/>
  <c r="M17" i="5" s="1"/>
  <c r="G17" i="5"/>
  <c r="F17" i="5"/>
  <c r="E17" i="5"/>
  <c r="J16" i="5"/>
  <c r="M16" i="5" s="1"/>
  <c r="G16" i="5"/>
  <c r="F16" i="5"/>
  <c r="E16" i="5"/>
  <c r="J15" i="5"/>
  <c r="M15" i="5" s="1"/>
  <c r="G15" i="5"/>
  <c r="F15" i="5"/>
  <c r="E15" i="5"/>
  <c r="J14" i="5"/>
  <c r="M14" i="5" s="1"/>
  <c r="G14" i="5"/>
  <c r="F14" i="5"/>
  <c r="E14" i="5"/>
  <c r="J13" i="5"/>
  <c r="M13" i="5" s="1"/>
  <c r="G13" i="5"/>
  <c r="F13" i="5"/>
  <c r="E13" i="5"/>
  <c r="J12" i="5"/>
  <c r="M12" i="5" s="1"/>
  <c r="G12" i="5"/>
  <c r="F12" i="5"/>
  <c r="E12" i="5"/>
  <c r="J11" i="5"/>
  <c r="M11" i="5" s="1"/>
  <c r="G11" i="5"/>
  <c r="F11" i="5"/>
  <c r="E11" i="5"/>
  <c r="J10" i="5"/>
  <c r="M10" i="5" s="1"/>
  <c r="G10" i="5"/>
  <c r="F10" i="5"/>
  <c r="E10" i="5"/>
  <c r="J9" i="5"/>
  <c r="M9" i="5" s="1"/>
  <c r="G9" i="5"/>
  <c r="F9" i="5"/>
  <c r="E9" i="5"/>
  <c r="M8" i="5"/>
  <c r="J8" i="5"/>
  <c r="G8" i="5"/>
  <c r="F8" i="5"/>
  <c r="E8" i="5"/>
  <c r="J7" i="5"/>
  <c r="M7" i="5" s="1"/>
  <c r="G7" i="5"/>
  <c r="F7" i="5"/>
  <c r="E7" i="5"/>
  <c r="J6" i="5"/>
  <c r="M6" i="5" s="1"/>
  <c r="G6" i="5"/>
  <c r="F6" i="5"/>
  <c r="E6" i="5"/>
  <c r="J5" i="5"/>
  <c r="M5" i="5" s="1"/>
  <c r="G5" i="5"/>
  <c r="F5" i="5"/>
  <c r="E5" i="5"/>
  <c r="M4" i="5"/>
  <c r="J4" i="5"/>
  <c r="G4" i="5"/>
  <c r="F4" i="5"/>
  <c r="E4" i="5"/>
  <c r="J3" i="5"/>
  <c r="M3" i="5" s="1"/>
  <c r="G3" i="5"/>
  <c r="F3" i="5"/>
  <c r="E3" i="5"/>
  <c r="J2" i="5"/>
  <c r="M2" i="5" s="1"/>
  <c r="G2" i="5"/>
  <c r="F2" i="5"/>
  <c r="E2" i="5"/>
  <c r="L51" i="4"/>
  <c r="H51" i="4"/>
  <c r="G51" i="4"/>
  <c r="F51" i="4"/>
  <c r="L50" i="4"/>
  <c r="H50" i="4"/>
  <c r="G50" i="4"/>
  <c r="F50" i="4"/>
  <c r="L49" i="4"/>
  <c r="H49" i="4"/>
  <c r="G49" i="4"/>
  <c r="F49" i="4"/>
  <c r="L48" i="4"/>
  <c r="H48" i="4"/>
  <c r="G48" i="4"/>
  <c r="F48" i="4"/>
  <c r="L47" i="4"/>
  <c r="H47" i="4"/>
  <c r="G47" i="4"/>
  <c r="F47" i="4"/>
  <c r="L46" i="4"/>
  <c r="H46" i="4"/>
  <c r="G46" i="4"/>
  <c r="F46" i="4"/>
  <c r="L45" i="4"/>
  <c r="H45" i="4"/>
  <c r="G45" i="4"/>
  <c r="F45" i="4"/>
  <c r="L44" i="4"/>
  <c r="H44" i="4"/>
  <c r="G44" i="4"/>
  <c r="F44" i="4"/>
  <c r="L43" i="4"/>
  <c r="H43" i="4"/>
  <c r="G43" i="4"/>
  <c r="F43" i="4"/>
  <c r="L42" i="4"/>
  <c r="H42" i="4"/>
  <c r="G42" i="4"/>
  <c r="F42" i="4"/>
  <c r="L41" i="4"/>
  <c r="H41" i="4"/>
  <c r="G41" i="4"/>
  <c r="F41" i="4"/>
  <c r="L40" i="4"/>
  <c r="H40" i="4"/>
  <c r="G40" i="4"/>
  <c r="F40" i="4"/>
  <c r="L39" i="4"/>
  <c r="H39" i="4"/>
  <c r="G39" i="4"/>
  <c r="F39" i="4"/>
  <c r="L38" i="4"/>
  <c r="H38" i="4"/>
  <c r="G38" i="4"/>
  <c r="F38" i="4"/>
  <c r="L37" i="4"/>
  <c r="H37" i="4"/>
  <c r="G37" i="4"/>
  <c r="F37" i="4"/>
  <c r="L36" i="4"/>
  <c r="H36" i="4"/>
  <c r="G36" i="4"/>
  <c r="F36" i="4"/>
  <c r="L35" i="4"/>
  <c r="H35" i="4"/>
  <c r="G35" i="4"/>
  <c r="F35" i="4"/>
  <c r="L34" i="4"/>
  <c r="H34" i="4"/>
  <c r="G34" i="4"/>
  <c r="F34" i="4"/>
  <c r="H33" i="4"/>
  <c r="G33" i="4"/>
  <c r="F33" i="4"/>
  <c r="L32" i="4"/>
  <c r="H32" i="4"/>
  <c r="G32" i="4"/>
  <c r="F32" i="4"/>
  <c r="L31" i="4"/>
  <c r="H31" i="4"/>
  <c r="G31" i="4"/>
  <c r="F31" i="4"/>
  <c r="L30" i="4"/>
  <c r="H30" i="4"/>
  <c r="G30" i="4"/>
  <c r="F30" i="4"/>
  <c r="L29" i="4"/>
  <c r="H29" i="4"/>
  <c r="G29" i="4"/>
  <c r="F29" i="4"/>
  <c r="L28" i="4"/>
  <c r="H28" i="4"/>
  <c r="G28" i="4"/>
  <c r="F28" i="4"/>
  <c r="L27" i="4"/>
  <c r="H27" i="4"/>
  <c r="G27" i="4"/>
  <c r="F27" i="4"/>
  <c r="L26" i="4"/>
  <c r="H26" i="4"/>
  <c r="G26" i="4"/>
  <c r="F26" i="4"/>
  <c r="L25" i="4"/>
  <c r="H25" i="4"/>
  <c r="G25" i="4"/>
  <c r="F25" i="4"/>
  <c r="L24" i="4"/>
  <c r="H24" i="4"/>
  <c r="G24" i="4"/>
  <c r="F24" i="4"/>
  <c r="L23" i="4"/>
  <c r="H23" i="4"/>
  <c r="G23" i="4"/>
  <c r="F23" i="4"/>
  <c r="L22" i="4"/>
  <c r="H22" i="4"/>
  <c r="G22" i="4"/>
  <c r="F22" i="4"/>
  <c r="L21" i="4"/>
  <c r="H21" i="4"/>
  <c r="G21" i="4"/>
  <c r="F21" i="4"/>
  <c r="L20" i="4"/>
  <c r="H20" i="4"/>
  <c r="G20" i="4"/>
  <c r="F20" i="4"/>
  <c r="L19" i="4"/>
  <c r="H19" i="4"/>
  <c r="G19" i="4"/>
  <c r="F19" i="4"/>
  <c r="L18" i="4"/>
  <c r="H18" i="4"/>
  <c r="G18" i="4"/>
  <c r="F18" i="4"/>
  <c r="L17" i="4"/>
  <c r="H17" i="4"/>
  <c r="G17" i="4"/>
  <c r="F17" i="4"/>
  <c r="L16" i="4"/>
  <c r="H16" i="4"/>
  <c r="G16" i="4"/>
  <c r="F16" i="4"/>
  <c r="L15" i="4"/>
  <c r="H15" i="4"/>
  <c r="G15" i="4"/>
  <c r="F15" i="4"/>
  <c r="L14" i="4"/>
  <c r="H14" i="4"/>
  <c r="G14" i="4"/>
  <c r="F14" i="4"/>
  <c r="L13" i="4"/>
  <c r="H13" i="4"/>
  <c r="G13" i="4"/>
  <c r="F13" i="4"/>
  <c r="L12" i="4"/>
  <c r="H12" i="4"/>
  <c r="G12" i="4"/>
  <c r="F12" i="4"/>
  <c r="L11" i="4"/>
  <c r="H11" i="4"/>
  <c r="G11" i="4"/>
  <c r="F11" i="4"/>
  <c r="L10" i="4"/>
  <c r="H10" i="4"/>
  <c r="G10" i="4"/>
  <c r="F10" i="4"/>
  <c r="L9" i="4"/>
  <c r="H9" i="4"/>
  <c r="G9" i="4"/>
  <c r="F9" i="4"/>
  <c r="L8" i="4"/>
  <c r="H8" i="4"/>
  <c r="G8" i="4"/>
  <c r="F8" i="4"/>
  <c r="L7" i="4"/>
  <c r="H7" i="4"/>
  <c r="G7" i="4"/>
  <c r="F7" i="4"/>
  <c r="L6" i="4"/>
  <c r="H6" i="4"/>
  <c r="G6" i="4"/>
  <c r="F6" i="4"/>
  <c r="L5" i="4"/>
  <c r="H5" i="4"/>
  <c r="G5" i="4"/>
  <c r="F5" i="4"/>
  <c r="L4" i="4"/>
  <c r="H4" i="4"/>
  <c r="G4" i="4"/>
  <c r="F4" i="4"/>
  <c r="L3" i="4"/>
  <c r="H3" i="4"/>
  <c r="G3" i="4"/>
  <c r="F3" i="4"/>
  <c r="L2" i="4"/>
  <c r="H2" i="4"/>
  <c r="G2" i="4"/>
  <c r="F2" i="4"/>
  <c r="G71" i="3"/>
  <c r="F71" i="3"/>
  <c r="E71" i="3"/>
  <c r="G70" i="3"/>
  <c r="F70" i="3"/>
  <c r="E70" i="3"/>
  <c r="G69" i="3"/>
  <c r="F69" i="3"/>
  <c r="E69" i="3"/>
  <c r="G68" i="3"/>
  <c r="F68" i="3"/>
  <c r="E68" i="3"/>
  <c r="G67" i="3"/>
  <c r="F67" i="3"/>
  <c r="E67" i="3"/>
  <c r="G66" i="3"/>
  <c r="F66" i="3"/>
  <c r="E66" i="3"/>
  <c r="G65" i="3"/>
  <c r="F65" i="3"/>
  <c r="E65" i="3"/>
  <c r="G64" i="3"/>
  <c r="F64" i="3"/>
  <c r="E64" i="3"/>
  <c r="G63" i="3"/>
  <c r="F63" i="3"/>
  <c r="E63" i="3"/>
  <c r="G62" i="3"/>
  <c r="F62" i="3"/>
  <c r="E62" i="3"/>
  <c r="G61" i="3"/>
  <c r="F61" i="3"/>
  <c r="E61" i="3"/>
  <c r="G60" i="3"/>
  <c r="F60" i="3"/>
  <c r="E60" i="3"/>
  <c r="G59" i="3"/>
  <c r="F59" i="3"/>
  <c r="E59" i="3"/>
  <c r="G58" i="3"/>
  <c r="F58" i="3"/>
  <c r="E58" i="3"/>
  <c r="G57" i="3"/>
  <c r="F57" i="3"/>
  <c r="E57" i="3"/>
  <c r="G56" i="3"/>
  <c r="F56" i="3"/>
  <c r="E56" i="3"/>
  <c r="G55" i="3"/>
  <c r="F55" i="3"/>
  <c r="E55" i="3"/>
  <c r="G54" i="3"/>
  <c r="F54" i="3"/>
  <c r="E54" i="3"/>
  <c r="G53" i="3"/>
  <c r="F53" i="3"/>
  <c r="E53" i="3"/>
  <c r="G52" i="3"/>
  <c r="F52" i="3"/>
  <c r="E52" i="3"/>
  <c r="G51" i="3"/>
  <c r="F51" i="3"/>
  <c r="E51" i="3"/>
  <c r="G50" i="3"/>
  <c r="F50" i="3"/>
  <c r="E50" i="3"/>
  <c r="G49" i="3"/>
  <c r="F49" i="3"/>
  <c r="E49" i="3"/>
  <c r="G48" i="3"/>
  <c r="F48" i="3"/>
  <c r="E48" i="3"/>
  <c r="G47" i="3"/>
  <c r="F47" i="3"/>
  <c r="E47" i="3"/>
  <c r="G46" i="3"/>
  <c r="F46" i="3"/>
  <c r="E46" i="3"/>
  <c r="G45" i="3"/>
  <c r="F45" i="3"/>
  <c r="E45" i="3"/>
  <c r="G44" i="3"/>
  <c r="F44" i="3"/>
  <c r="E44" i="3"/>
  <c r="G43" i="3"/>
  <c r="F43" i="3"/>
  <c r="E43" i="3"/>
  <c r="G42" i="3"/>
  <c r="F42" i="3"/>
  <c r="E42" i="3"/>
  <c r="G41" i="3"/>
  <c r="F41" i="3"/>
  <c r="E41" i="3"/>
  <c r="G40" i="3"/>
  <c r="F40" i="3"/>
  <c r="E40" i="3"/>
  <c r="G39" i="3"/>
  <c r="F39" i="3"/>
  <c r="E39" i="3"/>
  <c r="G38" i="3"/>
  <c r="F38" i="3"/>
  <c r="E38" i="3"/>
  <c r="G37" i="3"/>
  <c r="F37" i="3"/>
  <c r="E37" i="3"/>
  <c r="G36" i="3"/>
  <c r="F36" i="3"/>
  <c r="E36" i="3"/>
  <c r="G35" i="3"/>
  <c r="F35" i="3"/>
  <c r="E35" i="3"/>
  <c r="G34" i="3"/>
  <c r="F34" i="3"/>
  <c r="E34" i="3"/>
  <c r="G33" i="3"/>
  <c r="F33" i="3"/>
  <c r="E33" i="3"/>
  <c r="G32" i="3"/>
  <c r="F32" i="3"/>
  <c r="E32" i="3"/>
  <c r="G31" i="3"/>
  <c r="F31" i="3"/>
  <c r="E31" i="3"/>
  <c r="G30" i="3"/>
  <c r="F30" i="3"/>
  <c r="E30" i="3"/>
  <c r="G29" i="3"/>
  <c r="F29" i="3"/>
  <c r="E29" i="3"/>
  <c r="G28" i="3"/>
  <c r="F28" i="3"/>
  <c r="E28" i="3"/>
  <c r="G27" i="3"/>
  <c r="F27" i="3"/>
  <c r="E27" i="3"/>
  <c r="G26" i="3"/>
  <c r="F26" i="3"/>
  <c r="E26" i="3"/>
  <c r="G25" i="3"/>
  <c r="F25" i="3"/>
  <c r="E25" i="3"/>
  <c r="G24" i="3"/>
  <c r="F24" i="3"/>
  <c r="E24" i="3"/>
  <c r="G23" i="3"/>
  <c r="F23" i="3"/>
  <c r="E23" i="3"/>
  <c r="G22" i="3"/>
  <c r="F22" i="3"/>
  <c r="E22" i="3"/>
  <c r="G21" i="3"/>
  <c r="F21" i="3"/>
  <c r="E21" i="3"/>
  <c r="G20" i="3"/>
  <c r="F20" i="3"/>
  <c r="E20" i="3"/>
  <c r="G19" i="3"/>
  <c r="F19" i="3"/>
  <c r="E19" i="3"/>
  <c r="G18" i="3"/>
  <c r="F18" i="3"/>
  <c r="E18" i="3"/>
  <c r="G17" i="3"/>
  <c r="F17" i="3"/>
  <c r="E17" i="3"/>
  <c r="G16" i="3"/>
  <c r="F16" i="3"/>
  <c r="E16" i="3"/>
  <c r="G15" i="3"/>
  <c r="F15" i="3"/>
  <c r="E15" i="3"/>
  <c r="G14" i="3"/>
  <c r="F14" i="3"/>
  <c r="E14" i="3"/>
  <c r="G13" i="3"/>
  <c r="F13" i="3"/>
  <c r="E13" i="3"/>
  <c r="G12" i="3"/>
  <c r="F12" i="3"/>
  <c r="E12" i="3"/>
  <c r="G11" i="3"/>
  <c r="F11" i="3"/>
  <c r="E11" i="3"/>
  <c r="G10" i="3"/>
  <c r="F10" i="3"/>
  <c r="E10" i="3"/>
  <c r="G9" i="3"/>
  <c r="F9" i="3"/>
  <c r="E9" i="3"/>
  <c r="G8" i="3"/>
  <c r="F8" i="3"/>
  <c r="E8" i="3"/>
  <c r="G7" i="3"/>
  <c r="F7" i="3"/>
  <c r="E7" i="3"/>
  <c r="G6" i="3"/>
  <c r="F6" i="3"/>
  <c r="E6" i="3"/>
  <c r="G5" i="3"/>
  <c r="F5" i="3"/>
  <c r="E5" i="3"/>
  <c r="G4" i="3"/>
  <c r="F4" i="3"/>
  <c r="E4" i="3"/>
  <c r="G3" i="3"/>
  <c r="F3" i="3"/>
  <c r="E3" i="3"/>
  <c r="G2" i="3"/>
  <c r="F2" i="3"/>
  <c r="E2" i="3"/>
  <c r="J48" i="2"/>
  <c r="G48" i="2"/>
  <c r="F48" i="2"/>
  <c r="E48" i="2"/>
  <c r="J47" i="2"/>
  <c r="G47" i="2"/>
  <c r="F47" i="2"/>
  <c r="E47" i="2"/>
  <c r="J46" i="2"/>
  <c r="G46" i="2"/>
  <c r="F46" i="2"/>
  <c r="E46" i="2"/>
  <c r="J45" i="2"/>
  <c r="G45" i="2"/>
  <c r="F45" i="2"/>
  <c r="E45" i="2"/>
  <c r="J44" i="2"/>
  <c r="G44" i="2"/>
  <c r="F44" i="2"/>
  <c r="E44" i="2"/>
  <c r="J43" i="2"/>
  <c r="G43" i="2"/>
  <c r="F43" i="2"/>
  <c r="E43" i="2"/>
  <c r="J42" i="2"/>
  <c r="G42" i="2"/>
  <c r="F42" i="2"/>
  <c r="E42" i="2"/>
  <c r="J41" i="2"/>
  <c r="G41" i="2"/>
  <c r="F41" i="2"/>
  <c r="E41" i="2"/>
  <c r="J40" i="2"/>
  <c r="G40" i="2"/>
  <c r="F40" i="2"/>
  <c r="E40" i="2"/>
  <c r="J39" i="2"/>
  <c r="G39" i="2"/>
  <c r="F39" i="2"/>
  <c r="E39" i="2"/>
  <c r="J38" i="2"/>
  <c r="G38" i="2"/>
  <c r="F38" i="2"/>
  <c r="E38" i="2"/>
  <c r="J37" i="2"/>
  <c r="G37" i="2"/>
  <c r="F37" i="2"/>
  <c r="E37" i="2"/>
  <c r="J36" i="2"/>
  <c r="G36" i="2"/>
  <c r="F36" i="2"/>
  <c r="E36" i="2"/>
  <c r="J35" i="2"/>
  <c r="G35" i="2"/>
  <c r="F35" i="2"/>
  <c r="E35" i="2"/>
  <c r="J34" i="2"/>
  <c r="G34" i="2"/>
  <c r="F34" i="2"/>
  <c r="E34" i="2"/>
  <c r="J33" i="2"/>
  <c r="G33" i="2"/>
  <c r="F33" i="2"/>
  <c r="E33" i="2"/>
  <c r="J32" i="2"/>
  <c r="G32" i="2"/>
  <c r="F32" i="2"/>
  <c r="E32" i="2"/>
  <c r="J31" i="2"/>
  <c r="G31" i="2"/>
  <c r="F31" i="2"/>
  <c r="E31" i="2"/>
  <c r="J30" i="2"/>
  <c r="G30" i="2"/>
  <c r="F30" i="2"/>
  <c r="E30" i="2"/>
  <c r="J29" i="2"/>
  <c r="G29" i="2"/>
  <c r="F29" i="2"/>
  <c r="E29" i="2"/>
  <c r="J28" i="2"/>
  <c r="G28" i="2"/>
  <c r="F28" i="2"/>
  <c r="E28" i="2"/>
  <c r="J27" i="2"/>
  <c r="G27" i="2"/>
  <c r="F27" i="2"/>
  <c r="E27" i="2"/>
  <c r="J26" i="2"/>
  <c r="G26" i="2"/>
  <c r="F26" i="2"/>
  <c r="E26" i="2"/>
  <c r="J25" i="2"/>
  <c r="G25" i="2"/>
  <c r="F25" i="2"/>
  <c r="E25" i="2"/>
  <c r="J24" i="2"/>
  <c r="G24" i="2"/>
  <c r="F24" i="2"/>
  <c r="E24" i="2"/>
  <c r="J23" i="2"/>
  <c r="G23" i="2"/>
  <c r="F23" i="2"/>
  <c r="E23" i="2"/>
  <c r="J22" i="2"/>
  <c r="G22" i="2"/>
  <c r="F22" i="2"/>
  <c r="E22" i="2"/>
  <c r="J21" i="2"/>
  <c r="G21" i="2"/>
  <c r="F21" i="2"/>
  <c r="E21" i="2"/>
  <c r="J20" i="2"/>
  <c r="G20" i="2"/>
  <c r="F20" i="2"/>
  <c r="E20" i="2"/>
  <c r="J19" i="2"/>
  <c r="G19" i="2"/>
  <c r="F19" i="2"/>
  <c r="E19" i="2"/>
  <c r="J18" i="2"/>
  <c r="G18" i="2"/>
  <c r="F18" i="2"/>
  <c r="E18" i="2"/>
  <c r="J17" i="2"/>
  <c r="G17" i="2"/>
  <c r="F17" i="2"/>
  <c r="E17" i="2"/>
  <c r="J16" i="2"/>
  <c r="G16" i="2"/>
  <c r="F16" i="2"/>
  <c r="E16" i="2"/>
  <c r="G15" i="2"/>
  <c r="F15" i="2"/>
  <c r="E15" i="2"/>
  <c r="J14" i="2"/>
  <c r="G14" i="2"/>
  <c r="F14" i="2"/>
  <c r="E14" i="2"/>
  <c r="J13" i="2"/>
  <c r="G13" i="2"/>
  <c r="F13" i="2"/>
  <c r="E13" i="2"/>
  <c r="J12" i="2"/>
  <c r="G12" i="2"/>
  <c r="F12" i="2"/>
  <c r="E12" i="2"/>
  <c r="J11" i="2"/>
  <c r="G11" i="2"/>
  <c r="F11" i="2"/>
  <c r="E11" i="2"/>
  <c r="J10" i="2"/>
  <c r="G10" i="2"/>
  <c r="F10" i="2"/>
  <c r="E10" i="2"/>
  <c r="J9" i="2"/>
  <c r="G9" i="2"/>
  <c r="F9" i="2"/>
  <c r="E9" i="2"/>
  <c r="J8" i="2"/>
  <c r="G8" i="2"/>
  <c r="F8" i="2"/>
  <c r="E8" i="2"/>
  <c r="J7" i="2"/>
  <c r="G7" i="2"/>
  <c r="F7" i="2"/>
  <c r="E7" i="2"/>
  <c r="J6" i="2"/>
  <c r="G6" i="2"/>
  <c r="F6" i="2"/>
  <c r="E6" i="2"/>
  <c r="J5" i="2"/>
  <c r="G5" i="2"/>
  <c r="F5" i="2"/>
  <c r="E5" i="2"/>
  <c r="J4" i="2"/>
  <c r="G4" i="2"/>
  <c r="F4" i="2"/>
  <c r="E4" i="2"/>
  <c r="J3" i="2"/>
  <c r="G3" i="2"/>
  <c r="F3" i="2"/>
  <c r="E3" i="2"/>
  <c r="J2" i="2"/>
  <c r="G2" i="2"/>
  <c r="F2" i="2"/>
  <c r="E2" i="2"/>
  <c r="L33" i="4" l="1"/>
  <c r="I41" i="4"/>
  <c r="J41" i="4" s="1"/>
  <c r="I44" i="4"/>
  <c r="M44" i="4" s="1"/>
  <c r="N44" i="4" s="1"/>
  <c r="I47" i="4"/>
  <c r="I50" i="4"/>
  <c r="J50" i="4" s="1"/>
  <c r="I2" i="4"/>
  <c r="I5" i="4"/>
  <c r="I8" i="4"/>
  <c r="I11" i="4"/>
  <c r="I14" i="4"/>
  <c r="I17" i="4"/>
  <c r="I20" i="4"/>
  <c r="I23" i="4"/>
  <c r="I26" i="4"/>
  <c r="I29" i="4"/>
  <c r="I32" i="4"/>
  <c r="I35" i="4"/>
  <c r="I38" i="4"/>
  <c r="J38" i="4" s="1"/>
  <c r="I3" i="4"/>
  <c r="I6" i="4"/>
  <c r="I9" i="4"/>
  <c r="I12" i="4"/>
  <c r="I15" i="4"/>
  <c r="I18" i="4"/>
  <c r="I21" i="4"/>
  <c r="I24" i="4"/>
  <c r="I27" i="4"/>
  <c r="I30" i="4"/>
  <c r="I33" i="4"/>
  <c r="I36" i="4"/>
  <c r="I39" i="4"/>
  <c r="I42" i="4"/>
  <c r="I45" i="4"/>
  <c r="I48" i="4"/>
  <c r="I51" i="4"/>
  <c r="I4" i="4"/>
  <c r="I7" i="4"/>
  <c r="I10" i="4"/>
  <c r="I13" i="4"/>
  <c r="I16" i="4"/>
  <c r="I19" i="4"/>
  <c r="I22" i="4"/>
  <c r="I28" i="4"/>
  <c r="I31" i="4"/>
  <c r="I34" i="4"/>
  <c r="I37" i="4"/>
  <c r="I40" i="4"/>
  <c r="I43" i="4"/>
  <c r="I46" i="4"/>
  <c r="I49" i="4"/>
  <c r="I25" i="4"/>
  <c r="M41" i="4"/>
  <c r="N41" i="4" s="1"/>
  <c r="K41" i="4"/>
  <c r="M47" i="4"/>
  <c r="N47" i="4" s="1"/>
  <c r="M50" i="4"/>
  <c r="N50" i="4" s="1"/>
  <c r="K50" i="4" l="1"/>
  <c r="M38" i="4"/>
  <c r="N38" i="4" s="1"/>
  <c r="K38" i="4"/>
  <c r="M51" i="4"/>
  <c r="N51" i="4" s="1"/>
  <c r="J51" i="4"/>
  <c r="M20" i="4"/>
  <c r="N20" i="4" s="1"/>
  <c r="J20" i="4"/>
  <c r="K21" i="4"/>
  <c r="J21" i="4"/>
  <c r="M17" i="4"/>
  <c r="N17" i="4" s="1"/>
  <c r="J17" i="4"/>
  <c r="K8" i="4"/>
  <c r="J8" i="4"/>
  <c r="K7" i="4"/>
  <c r="J7" i="4"/>
  <c r="M15" i="4"/>
  <c r="N15" i="4" s="1"/>
  <c r="J15" i="4"/>
  <c r="M37" i="4"/>
  <c r="N37" i="4" s="1"/>
  <c r="J37" i="4"/>
  <c r="M5" i="4"/>
  <c r="N5" i="4" s="1"/>
  <c r="J5" i="4"/>
  <c r="K43" i="4"/>
  <c r="J43" i="4"/>
  <c r="M34" i="4"/>
  <c r="N34" i="4" s="1"/>
  <c r="J34" i="4"/>
  <c r="K39" i="4"/>
  <c r="J39" i="4"/>
  <c r="M46" i="4"/>
  <c r="N46" i="4" s="1"/>
  <c r="J46" i="4"/>
  <c r="M4" i="4"/>
  <c r="N4" i="4" s="1"/>
  <c r="J4" i="4"/>
  <c r="M40" i="4"/>
  <c r="N40" i="4" s="1"/>
  <c r="J40" i="4"/>
  <c r="K12" i="4"/>
  <c r="J12" i="4"/>
  <c r="K11" i="4"/>
  <c r="J11" i="4"/>
  <c r="M6" i="4"/>
  <c r="N6" i="4" s="1"/>
  <c r="J6" i="4"/>
  <c r="M22" i="4"/>
  <c r="N22" i="4" s="1"/>
  <c r="J22" i="4"/>
  <c r="K19" i="4"/>
  <c r="J19" i="4"/>
  <c r="M33" i="4"/>
  <c r="N33" i="4" s="1"/>
  <c r="J33" i="4"/>
  <c r="M35" i="4"/>
  <c r="N35" i="4" s="1"/>
  <c r="J35" i="4"/>
  <c r="M23" i="4"/>
  <c r="N23" i="4" s="1"/>
  <c r="J23" i="4"/>
  <c r="K14" i="4"/>
  <c r="J14" i="4"/>
  <c r="M45" i="4"/>
  <c r="N45" i="4" s="1"/>
  <c r="J45" i="4"/>
  <c r="M31" i="4"/>
  <c r="N31" i="4" s="1"/>
  <c r="J31" i="4"/>
  <c r="M28" i="4"/>
  <c r="N28" i="4" s="1"/>
  <c r="J28" i="4"/>
  <c r="K36" i="4"/>
  <c r="J36" i="4"/>
  <c r="M39" i="4"/>
  <c r="N39" i="4" s="1"/>
  <c r="M36" i="4"/>
  <c r="N36" i="4" s="1"/>
  <c r="M16" i="4"/>
  <c r="N16" i="4" s="1"/>
  <c r="J16" i="4"/>
  <c r="K30" i="4"/>
  <c r="J30" i="4"/>
  <c r="K32" i="4"/>
  <c r="J32" i="4"/>
  <c r="K47" i="4"/>
  <c r="J47" i="4"/>
  <c r="K18" i="4"/>
  <c r="J18" i="4"/>
  <c r="K48" i="4"/>
  <c r="J48" i="4"/>
  <c r="M9" i="4"/>
  <c r="N9" i="4" s="1"/>
  <c r="J9" i="4"/>
  <c r="M42" i="4"/>
  <c r="N42" i="4" s="1"/>
  <c r="J42" i="4"/>
  <c r="M3" i="4"/>
  <c r="N3" i="4" s="1"/>
  <c r="J3" i="4"/>
  <c r="K2" i="4"/>
  <c r="J2" i="4"/>
  <c r="K13" i="4"/>
  <c r="J13" i="4"/>
  <c r="M29" i="4"/>
  <c r="N29" i="4" s="1"/>
  <c r="J29" i="4"/>
  <c r="K44" i="4"/>
  <c r="J44" i="4"/>
  <c r="M25" i="4"/>
  <c r="N25" i="4" s="1"/>
  <c r="J25" i="4"/>
  <c r="M27" i="4"/>
  <c r="N27" i="4" s="1"/>
  <c r="J27" i="4"/>
  <c r="K5" i="4"/>
  <c r="K49" i="4"/>
  <c r="J49" i="4"/>
  <c r="M10" i="4"/>
  <c r="N10" i="4" s="1"/>
  <c r="J10" i="4"/>
  <c r="K24" i="4"/>
  <c r="J24" i="4"/>
  <c r="K26" i="4"/>
  <c r="J26" i="4"/>
  <c r="K6" i="4"/>
  <c r="K28" i="4"/>
  <c r="K37" i="4"/>
  <c r="M12" i="4"/>
  <c r="N12" i="4" s="1"/>
  <c r="M14" i="4"/>
  <c r="N14" i="4" s="1"/>
  <c r="K22" i="4"/>
  <c r="M11" i="4"/>
  <c r="N11" i="4" s="1"/>
  <c r="K3" i="4"/>
  <c r="M8" i="4"/>
  <c r="N8" i="4" s="1"/>
  <c r="M2" i="4"/>
  <c r="N2" i="4" s="1"/>
  <c r="K40" i="4"/>
  <c r="K20" i="4"/>
  <c r="K34" i="4"/>
  <c r="K31" i="4"/>
  <c r="M21" i="4"/>
  <c r="N21" i="4" s="1"/>
  <c r="M48" i="4"/>
  <c r="N48" i="4" s="1"/>
  <c r="K45" i="4"/>
  <c r="M30" i="4"/>
  <c r="N30" i="4" s="1"/>
  <c r="K9" i="4"/>
  <c r="M7" i="4"/>
  <c r="N7" i="4" s="1"/>
  <c r="K10" i="4"/>
  <c r="K42" i="4"/>
  <c r="K33" i="4"/>
  <c r="M24" i="4"/>
  <c r="N24" i="4" s="1"/>
  <c r="K15" i="4"/>
  <c r="K35" i="4"/>
  <c r="K25" i="4"/>
  <c r="M49" i="4"/>
  <c r="N49" i="4" s="1"/>
  <c r="K29" i="4"/>
  <c r="M13" i="4"/>
  <c r="N13" i="4" s="1"/>
  <c r="M19" i="4"/>
  <c r="N19" i="4" s="1"/>
  <c r="M43" i="4"/>
  <c r="N43" i="4" s="1"/>
  <c r="K27" i="4"/>
  <c r="M32" i="4"/>
  <c r="N32" i="4" s="1"/>
  <c r="K16" i="4"/>
  <c r="M26" i="4"/>
  <c r="N26" i="4" s="1"/>
  <c r="K4" i="4"/>
  <c r="K51" i="4"/>
  <c r="K17" i="4"/>
  <c r="K46" i="4"/>
  <c r="K23" i="4"/>
  <c r="M18" i="4"/>
  <c r="N18" i="4" s="1"/>
</calcChain>
</file>

<file path=xl/sharedStrings.xml><?xml version="1.0" encoding="utf-8"?>
<sst xmlns="http://schemas.openxmlformats.org/spreadsheetml/2006/main" count="1029" uniqueCount="322">
  <si>
    <t>Descrição</t>
  </si>
  <si>
    <t>Unidade</t>
  </si>
  <si>
    <t>Familia</t>
  </si>
  <si>
    <t>Preço_Médio (R$)</t>
  </si>
  <si>
    <t>CAN-HER-001</t>
  </si>
  <si>
    <t>L</t>
  </si>
  <si>
    <t>Herbicida</t>
  </si>
  <si>
    <t>CAN-HER-002</t>
  </si>
  <si>
    <t>CAN-HER-003</t>
  </si>
  <si>
    <t>CAN-HER-004</t>
  </si>
  <si>
    <t>CAN-HER-005</t>
  </si>
  <si>
    <t>CAN-HER-006</t>
  </si>
  <si>
    <t>kg</t>
  </si>
  <si>
    <t>CAN-HER-007</t>
  </si>
  <si>
    <t>CAN-HER-008</t>
  </si>
  <si>
    <t>CAN-HER-009</t>
  </si>
  <si>
    <t>CAN-HER-010</t>
  </si>
  <si>
    <t>CAN-INS-001</t>
  </si>
  <si>
    <t>Inseticida – Imidacloprido 200 SL</t>
  </si>
  <si>
    <t>Inseticida</t>
  </si>
  <si>
    <t>CAN-INS-002</t>
  </si>
  <si>
    <t>CAN-INS-003</t>
  </si>
  <si>
    <t>CAN-INS-004</t>
  </si>
  <si>
    <t>CAN-INS-005</t>
  </si>
  <si>
    <t>CAN-INS-006</t>
  </si>
  <si>
    <t>CAN-NEM-001</t>
  </si>
  <si>
    <t>Nematicida</t>
  </si>
  <si>
    <t>CAN-NEM-002</t>
  </si>
  <si>
    <t>CAN-NEM-003</t>
  </si>
  <si>
    <t>CAN-NEM-004</t>
  </si>
  <si>
    <t>CAN-FER-001</t>
  </si>
  <si>
    <t>Fertilizante (N)</t>
  </si>
  <si>
    <t>CAN-FER-002</t>
  </si>
  <si>
    <t>Fertilizante (N/S)</t>
  </si>
  <si>
    <t>CAN-FER-003</t>
  </si>
  <si>
    <t>CAN-FER-004</t>
  </si>
  <si>
    <t>Fertilizante (K)</t>
  </si>
  <si>
    <t>CAN-FER-005</t>
  </si>
  <si>
    <t>Fertilizante (K/S)</t>
  </si>
  <si>
    <t>CAN-FER-006</t>
  </si>
  <si>
    <t>Fosfatado</t>
  </si>
  <si>
    <t>CAN-FER-007</t>
  </si>
  <si>
    <t>CAN-FER-008</t>
  </si>
  <si>
    <t>CAN-FER-009</t>
  </si>
  <si>
    <t>CAN-FER-010</t>
  </si>
  <si>
    <t>Fertilizante (NPK)</t>
  </si>
  <si>
    <t>CAN-FER-011</t>
  </si>
  <si>
    <t>CAN-FER-012</t>
  </si>
  <si>
    <t>CAN-CAL-001</t>
  </si>
  <si>
    <t>Calcário dolomítico (PRNT alto)</t>
  </si>
  <si>
    <t>t</t>
  </si>
  <si>
    <t>Corretivo (Calcário)</t>
  </si>
  <si>
    <t>CAN-CAL-002</t>
  </si>
  <si>
    <t>Calcário calcítico (PRNT alto)</t>
  </si>
  <si>
    <t>CAN-CAL-003</t>
  </si>
  <si>
    <t>Gesso agrícola (sulfato de cálcio)</t>
  </si>
  <si>
    <t>Condicionador de solo</t>
  </si>
  <si>
    <t>CAN-CAL-004</t>
  </si>
  <si>
    <t>Cal virgem agrícola</t>
  </si>
  <si>
    <t>Corretivo (Calagem)</t>
  </si>
  <si>
    <t>CAN-CAL-005</t>
  </si>
  <si>
    <t>Cal hidratada agrícola</t>
  </si>
  <si>
    <t>CAN-CA-001</t>
  </si>
  <si>
    <t>Fonte de Cálcio – Nitrato de cálcio</t>
  </si>
  <si>
    <t>Cálcio</t>
  </si>
  <si>
    <t>CAN-CA-002</t>
  </si>
  <si>
    <t>Fonte de Cálcio – Cloreto de cálcio</t>
  </si>
  <si>
    <t>CAN-MIC-001</t>
  </si>
  <si>
    <t>Micronutriente</t>
  </si>
  <si>
    <t>CAN-MIC-002</t>
  </si>
  <si>
    <t>CAN-MIC-003</t>
  </si>
  <si>
    <t>CAN-MIC-004</t>
  </si>
  <si>
    <t>CAN-MIC-005</t>
  </si>
  <si>
    <t>Mistura de micronutrientes (B+Zn+Mn+Cu)</t>
  </si>
  <si>
    <t>CAN-INO-001</t>
  </si>
  <si>
    <t>Inoculante</t>
  </si>
  <si>
    <t>CAN-INO-002</t>
  </si>
  <si>
    <t>CAN-ORG-001</t>
  </si>
  <si>
    <t>Organomineral</t>
  </si>
  <si>
    <t>CAN-ORG-002</t>
  </si>
  <si>
    <t>Fertilizante organomineral NPK (formulação padrão)</t>
  </si>
  <si>
    <t>CAN-ADJ-001</t>
  </si>
  <si>
    <t>Adjuvante</t>
  </si>
  <si>
    <t>CAN-ADJ-002</t>
  </si>
  <si>
    <t>Data</t>
  </si>
  <si>
    <t>Documento</t>
  </si>
  <si>
    <t>Fornecedor</t>
  </si>
  <si>
    <t>Quantidade</t>
  </si>
  <si>
    <t>Preço Unitário (R$)</t>
  </si>
  <si>
    <t>Valor Total (R$)</t>
  </si>
  <si>
    <t>Observações</t>
  </si>
  <si>
    <t>NF-2024-0037</t>
  </si>
  <si>
    <t>AgroVale Distribuidora</t>
  </si>
  <si>
    <t>Ajuste de estoque</t>
  </si>
  <si>
    <t>NF-2024-0005</t>
  </si>
  <si>
    <t>Reposição</t>
  </si>
  <si>
    <t>NF-2024-0028</t>
  </si>
  <si>
    <t>FertiMinas</t>
  </si>
  <si>
    <t>Compra programada</t>
  </si>
  <si>
    <t>NF-2024-0045</t>
  </si>
  <si>
    <t>Nutriplan</t>
  </si>
  <si>
    <t>NF-2024-0001</t>
  </si>
  <si>
    <t>Planta Forte Agro</t>
  </si>
  <si>
    <t>NF-2024-0032</t>
  </si>
  <si>
    <t>CoopCana</t>
  </si>
  <si>
    <t>NF-2024-0013</t>
  </si>
  <si>
    <t>NF-2024-0041</t>
  </si>
  <si>
    <t>BioAgro Insumos</t>
  </si>
  <si>
    <t>NF-2024-0011</t>
  </si>
  <si>
    <t>NF-2024-0033</t>
  </si>
  <si>
    <t>Calcários Serra Azul</t>
  </si>
  <si>
    <t>NF-2024-0025</t>
  </si>
  <si>
    <t>NF-2024-0044</t>
  </si>
  <si>
    <t>NF-2024-0046</t>
  </si>
  <si>
    <t>Safra/Tratos</t>
  </si>
  <si>
    <t>NF-2024-0017</t>
  </si>
  <si>
    <t>NF-2024-0018</t>
  </si>
  <si>
    <t>NF-2025-0014</t>
  </si>
  <si>
    <t>NF-2025-0042</t>
  </si>
  <si>
    <t>NF-2025-0016</t>
  </si>
  <si>
    <t>NF-2025-0007</t>
  </si>
  <si>
    <t>NF-2025-0009</t>
  </si>
  <si>
    <t>NF-2025-0024</t>
  </si>
  <si>
    <t>Lote promocional</t>
  </si>
  <si>
    <t>NF-2025-0029</t>
  </si>
  <si>
    <t>NF-2025-0006</t>
  </si>
  <si>
    <t>NF-2025-0031</t>
  </si>
  <si>
    <t>Minas Gesso</t>
  </si>
  <si>
    <t>NF-2025-0008</t>
  </si>
  <si>
    <t>NF-2025-0010</t>
  </si>
  <si>
    <t>NF-2025-0027</t>
  </si>
  <si>
    <t>NF-2025-0012</t>
  </si>
  <si>
    <t>NF-2025-0019</t>
  </si>
  <si>
    <t>NF-2025-0026</t>
  </si>
  <si>
    <t>NF-2025-0047</t>
  </si>
  <si>
    <t>NF-2025-0015</t>
  </si>
  <si>
    <t>NF-2025-0034</t>
  </si>
  <si>
    <t>NF-2025-0030</t>
  </si>
  <si>
    <t>NF-2025-0036</t>
  </si>
  <si>
    <t>NF-2025-0038</t>
  </si>
  <si>
    <t>NF-2025-0021</t>
  </si>
  <si>
    <t>NF-2025-0040</t>
  </si>
  <si>
    <t>NF-2025-0003</t>
  </si>
  <si>
    <t>NF-2025-0022</t>
  </si>
  <si>
    <t>NF-2025-0043</t>
  </si>
  <si>
    <t>NF-2025-0023</t>
  </si>
  <si>
    <t>NF-2026-0020</t>
  </si>
  <si>
    <t>NF-2026-0035</t>
  </si>
  <si>
    <t>NF-2026-0039</t>
  </si>
  <si>
    <t>NF-2026-0002</t>
  </si>
  <si>
    <t>NF-2026-0004</t>
  </si>
  <si>
    <t>Destino/Área</t>
  </si>
  <si>
    <t>Centro de custo</t>
  </si>
  <si>
    <t>RM-2024-0024</t>
  </si>
  <si>
    <t>Fazenda Boa Esperança - Talhão 09</t>
  </si>
  <si>
    <t>Controle de Plantas Daninhas</t>
  </si>
  <si>
    <t>RM-2024-0007</t>
  </si>
  <si>
    <t>Fazenda Santa Rita - Talhão 07</t>
  </si>
  <si>
    <t>Adubação</t>
  </si>
  <si>
    <t>Operação de campo</t>
  </si>
  <si>
    <t>RM-2024-0057</t>
  </si>
  <si>
    <t>Fazenda Serra Verde - Talhão 11</t>
  </si>
  <si>
    <t>Aplicação programada</t>
  </si>
  <si>
    <t>RM-2024-0053</t>
  </si>
  <si>
    <t>Ajuste</t>
  </si>
  <si>
    <t>RM-2024-0044</t>
  </si>
  <si>
    <t>Plantio</t>
  </si>
  <si>
    <t>RM-2024-0049</t>
  </si>
  <si>
    <t>Fazenda Santa Rita - Talhão 01</t>
  </si>
  <si>
    <t>Correção do Solo</t>
  </si>
  <si>
    <t>RM-2024-0036</t>
  </si>
  <si>
    <t>Manutenção</t>
  </si>
  <si>
    <t>RM-2024-0064</t>
  </si>
  <si>
    <t>Fazenda Boa Esperança - Talhão 03</t>
  </si>
  <si>
    <t>Tratos Culturais</t>
  </si>
  <si>
    <t>RM-2024-0010</t>
  </si>
  <si>
    <t>Fazenda Serra Verde - Talhão 05</t>
  </si>
  <si>
    <t>RM-2024-0052</t>
  </si>
  <si>
    <t>Fazenda Santa Rita - Talhão 12</t>
  </si>
  <si>
    <t>RM-2024-0002</t>
  </si>
  <si>
    <t>RM-2024-0070</t>
  </si>
  <si>
    <t>Oficina/Manutenção</t>
  </si>
  <si>
    <t>RM-2024-0055</t>
  </si>
  <si>
    <t>Pátio - Apoio</t>
  </si>
  <si>
    <t>Controle de Pragas</t>
  </si>
  <si>
    <t>RM-2024-0045</t>
  </si>
  <si>
    <t>Viveiro/Estufa - Área Experimental</t>
  </si>
  <si>
    <t>RM-2024-0037</t>
  </si>
  <si>
    <t>RM-2024-0050</t>
  </si>
  <si>
    <t>RM-2024-0058</t>
  </si>
  <si>
    <t>RM-2024-0034</t>
  </si>
  <si>
    <t>RM-2024-0006</t>
  </si>
  <si>
    <t>RM-2024-0011</t>
  </si>
  <si>
    <t>RM-2024-0043</t>
  </si>
  <si>
    <t>RM-2025-0062</t>
  </si>
  <si>
    <t>RM-2025-0020</t>
  </si>
  <si>
    <t>RM-2025-0054</t>
  </si>
  <si>
    <t>RM-2025-0051</t>
  </si>
  <si>
    <t>RM-2025-0042</t>
  </si>
  <si>
    <t>RM-2025-0014</t>
  </si>
  <si>
    <t>RM-2025-0028</t>
  </si>
  <si>
    <t>RM-2025-0060</t>
  </si>
  <si>
    <t>RM-2025-0012</t>
  </si>
  <si>
    <t>RM-2025-0069</t>
  </si>
  <si>
    <t>RM-2025-0017</t>
  </si>
  <si>
    <t>RM-2025-0015</t>
  </si>
  <si>
    <t>RM-2025-0063</t>
  </si>
  <si>
    <t>RM-2025-0003</t>
  </si>
  <si>
    <t>RM-2025-0066</t>
  </si>
  <si>
    <t>RM-2025-0001</t>
  </si>
  <si>
    <t>RM-2025-0022</t>
  </si>
  <si>
    <t>RM-2025-0018</t>
  </si>
  <si>
    <t>RM-2025-0021</t>
  </si>
  <si>
    <t>RM-2025-0025</t>
  </si>
  <si>
    <t>RM-2025-0046</t>
  </si>
  <si>
    <t>RM-2025-0068</t>
  </si>
  <si>
    <t>RM-2025-0016</t>
  </si>
  <si>
    <t>RM-2025-0027</t>
  </si>
  <si>
    <t>RM-2025-0009</t>
  </si>
  <si>
    <t>RM-2025-0067</t>
  </si>
  <si>
    <t>RM-2025-0040</t>
  </si>
  <si>
    <t>RM-2025-0013</t>
  </si>
  <si>
    <t>RM-2025-0030</t>
  </si>
  <si>
    <t>RM-2025-0039</t>
  </si>
  <si>
    <t>RM-2025-0038</t>
  </si>
  <si>
    <t>RM-2025-0023</t>
  </si>
  <si>
    <t>RM-2025-0047</t>
  </si>
  <si>
    <t>RM-2025-0005</t>
  </si>
  <si>
    <t>RM-2025-0031</t>
  </si>
  <si>
    <t>RM-2025-0056</t>
  </si>
  <si>
    <t>RM-2025-0019</t>
  </si>
  <si>
    <t>RM-2025-0032</t>
  </si>
  <si>
    <t>RM-2025-0061</t>
  </si>
  <si>
    <t>RM-2025-0029</t>
  </si>
  <si>
    <t>RM-2025-0065</t>
  </si>
  <si>
    <t>RM-2025-0033</t>
  </si>
  <si>
    <t>RM-2025-0004</t>
  </si>
  <si>
    <t>RM-2025-0026</t>
  </si>
  <si>
    <t>RM-2025-0035</t>
  </si>
  <si>
    <t>RM-2026-0041</t>
  </si>
  <si>
    <t>RM-2026-0059</t>
  </si>
  <si>
    <t>RM-2026-0048</t>
  </si>
  <si>
    <t>RM-2026-0008</t>
  </si>
  <si>
    <t>Preço Médio (R$)</t>
  </si>
  <si>
    <t>Entradas</t>
  </si>
  <si>
    <t>Saídas</t>
  </si>
  <si>
    <t>Estoque Atual</t>
  </si>
  <si>
    <t>Valor em Estoque (R$)</t>
  </si>
  <si>
    <t>Em pedido (aberto)</t>
  </si>
  <si>
    <t>Estoque + Pedido</t>
  </si>
  <si>
    <t>Valor Potencial (R$)</t>
  </si>
  <si>
    <t>Nº Pedido</t>
  </si>
  <si>
    <t>Data Pedido</t>
  </si>
  <si>
    <t>Qtde Pedida</t>
  </si>
  <si>
    <t>Qtde Recebida</t>
  </si>
  <si>
    <t>Saldo Aberto</t>
  </si>
  <si>
    <t>Valor Aberto (R$)</t>
  </si>
  <si>
    <t>Previsão Entrega</t>
  </si>
  <si>
    <t>Status</t>
  </si>
  <si>
    <t>PC-2025-0006</t>
  </si>
  <si>
    <t>Parcial</t>
  </si>
  <si>
    <t>PC-2025-0013</t>
  </si>
  <si>
    <t>Aberto</t>
  </si>
  <si>
    <t>PC-2025-0003</t>
  </si>
  <si>
    <t>PC-2025-0009</t>
  </si>
  <si>
    <t>PC-2026-0010</t>
  </si>
  <si>
    <t>PC-2026-0011</t>
  </si>
  <si>
    <t>PC-2026-0007</t>
  </si>
  <si>
    <t>PC-2026-0005</t>
  </si>
  <si>
    <t>PC-2026-0008</t>
  </si>
  <si>
    <t>PC-2026-0002</t>
  </si>
  <si>
    <t>PC-2026-0014</t>
  </si>
  <si>
    <t>PC-2026-0001</t>
  </si>
  <si>
    <t>PC-2026-0004</t>
  </si>
  <si>
    <t>PC-2026-0012</t>
  </si>
  <si>
    <t>Saldo (%)</t>
  </si>
  <si>
    <t>Glifosato 480 SL</t>
  </si>
  <si>
    <t>2,4-D (sal amina)</t>
  </si>
  <si>
    <t>Atrazina 500 SC</t>
  </si>
  <si>
    <t>Hexazinona 250 SC</t>
  </si>
  <si>
    <t>Diuron 500 SC</t>
  </si>
  <si>
    <t>Tebutiuron 500 WG</t>
  </si>
  <si>
    <t xml:space="preserve"> Imazapic 700 WG</t>
  </si>
  <si>
    <t xml:space="preserve"> Amicarbazona 700 WG</t>
  </si>
  <si>
    <t>Metolacloro 960 EC</t>
  </si>
  <si>
    <t>MSMA (concentrado solúvel)</t>
  </si>
  <si>
    <t>Tiametoxam 250 WG</t>
  </si>
  <si>
    <t xml:space="preserve"> Clorantraniliprole 200 SC</t>
  </si>
  <si>
    <t xml:space="preserve"> Lambda-cialotrina 50 EC</t>
  </si>
  <si>
    <t xml:space="preserve"> Fipronil 250 SC</t>
  </si>
  <si>
    <t>Bacillus thuringiensis (Bt)</t>
  </si>
  <si>
    <t>Fluensulfona 480 EC</t>
  </si>
  <si>
    <t>Ureia 46% N</t>
  </si>
  <si>
    <t>Sulfato de amônio 21% N + 24% S</t>
  </si>
  <si>
    <t>Nitrato de amônio</t>
  </si>
  <si>
    <t>Cloreto de potássio (KCl) 60% K2O</t>
  </si>
  <si>
    <t>Sulfato de potássio 50% K2O</t>
  </si>
  <si>
    <t>Purpureocillium lilacinum</t>
  </si>
  <si>
    <t>Bacillus firmus</t>
  </si>
  <si>
    <t>Abamectina 18 EC</t>
  </si>
  <si>
    <t>MAP (Monoamônio Fosfato) 11-52-0</t>
  </si>
  <si>
    <t>DAP (Diamônio Fosfato) 18-46-0</t>
  </si>
  <si>
    <t>Superfosfato simples (SSP)</t>
  </si>
  <si>
    <t>Superfosfato triplo (TSP)</t>
  </si>
  <si>
    <t>NPK 20-00-20</t>
  </si>
  <si>
    <t>NPK 04-30-10</t>
  </si>
  <si>
    <t>NPK 08-28-16</t>
  </si>
  <si>
    <t>Boro (B) granulado</t>
  </si>
  <si>
    <t>Zinco (Zn) granulado</t>
  </si>
  <si>
    <t>Manganês (Mn)</t>
  </si>
  <si>
    <t>Cobre (Cu)</t>
  </si>
  <si>
    <t>Azospirillum brasilense (líquido)</t>
  </si>
  <si>
    <t>Bacillus spp. promotor de crescimento</t>
  </si>
  <si>
    <t>Composto orgânico (granulado)</t>
  </si>
  <si>
    <t>Óleo mineral emulsionável</t>
  </si>
  <si>
    <t>Espalhante adesivo não iônico</t>
  </si>
  <si>
    <t xml:space="preserve">Localização </t>
  </si>
  <si>
    <t>Controle de Químicos</t>
  </si>
  <si>
    <t>Deposito 1</t>
  </si>
  <si>
    <t>Deposito 2</t>
  </si>
  <si>
    <t>COD_ID</t>
  </si>
  <si>
    <t>Recebidos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</si>
</sst>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E285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/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4" fontId="1" fillId="2" borderId="0" xfId="0" applyNumberFormat="1" applyFont="1" applyFill="1"/>
    <xf numFmtId="164" fontId="1" fillId="2" borderId="0" xfId="0" applyNumberFormat="1" applyFont="1" applyFill="1"/>
    <xf numFmtId="164" fontId="0" fillId="0" borderId="0" xfId="0" applyNumberFormat="1"/>
    <xf numFmtId="10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5" borderId="4" xfId="0" applyFill="1" applyBorder="1" applyAlignment="1">
      <alignment horizontal="center"/>
    </xf>
    <xf numFmtId="0" fontId="1" fillId="4" borderId="2" xfId="0" applyFont="1" applyFill="1" applyBorder="1"/>
    <xf numFmtId="0" fontId="0" fillId="6" borderId="5" xfId="0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0" fontId="1" fillId="2" borderId="6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10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6">
    <dxf>
      <numFmt numFmtId="14" formatCode="0.00%"/>
      <alignment horizontal="center" vertical="bottom" textRotation="0" wrapText="0" indent="0" justifyLastLine="0" shrinkToFit="0" readingOrder="0"/>
    </dxf>
    <dxf>
      <numFmt numFmtId="19" formatCode="dd/mm/yyyy"/>
    </dxf>
    <dxf>
      <numFmt numFmtId="164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numFmt numFmtId="164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numFmt numFmtId="164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rgb="FFFFE2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 style="thin">
          <color theme="1" tint="0.34998626667073579"/>
        </vertical>
        <horizontal style="thin">
          <color theme="1" tint="0.34998626667073579"/>
        </horizontal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4" formatCode="&quot;R$&quot;\ #,##0.00"/>
      <alignment horizontal="general" vertical="bottom" textRotation="0" wrapText="0" indent="0" justifyLastLine="0" shrinkToFit="0" readingOrder="0"/>
    </dxf>
    <dxf>
      <numFmt numFmtId="164" formatCode="&quot;R$&quot;\ 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9" formatCode="dd/mm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general" vertical="bottom" textRotation="0" wrapText="0" indent="0" justifyLastLine="0" shrinkToFit="0" readingOrder="0"/>
    </dxf>
    <dxf>
      <numFmt numFmtId="164" formatCode="&quot;R$&quot;\ #,##0.00"/>
      <alignment horizontal="center" textRotation="0" wrapText="0" indent="0" justifyLastLine="0" shrinkToFit="0" readingOrder="0"/>
    </dxf>
    <dxf>
      <numFmt numFmtId="164" formatCode="&quot;R$&quot;\ #,##0.0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numFmt numFmtId="164" formatCode="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FFE2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4B2B60-E4FF-4E97-BAF6-9864991ED0AE}" name="Tabela1" displayName="Tabela1" ref="A1:E51" totalsRowShown="0" headerRowDxfId="45" dataDxfId="44">
  <autoFilter ref="A1:E51" xr:uid="{9A4B2B60-E4FF-4E97-BAF6-9864991ED0AE}"/>
  <tableColumns count="5">
    <tableColumn id="1" xr3:uid="{516011BD-4688-4748-A07F-D4ABA90DE0AD}" name="COD_ID" dataDxfId="43"/>
    <tableColumn id="2" xr3:uid="{D2267FCA-B559-4922-84D3-81334C62FB95}" name="Descrição" dataDxfId="42"/>
    <tableColumn id="3" xr3:uid="{8FF57186-8D14-46BA-8150-E4539DA5C965}" name="Unidade" dataDxfId="41"/>
    <tableColumn id="4" xr3:uid="{F6AD14C4-D4E7-4F47-928E-8D5A2EE2DDB2}" name="Familia" dataDxfId="40"/>
    <tableColumn id="5" xr3:uid="{277FD05B-9FA2-4A4B-9D04-7B5EE4E77AF2}" name="Preço_Médio (R$)" dataDxfId="3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BF7BB6-0670-47F0-8362-6613906703FC}" name="Tabela2" displayName="Tabela2" ref="A1:K48" totalsRowShown="0" headerRowDxfId="38" tableBorderDxfId="37">
  <autoFilter ref="A1:K48" xr:uid="{48BF7BB6-0670-47F0-8362-6613906703FC}"/>
  <tableColumns count="11">
    <tableColumn id="1" xr3:uid="{F4834170-256C-465C-A6C1-A14B3574DBC6}" name="Data" dataDxfId="36"/>
    <tableColumn id="2" xr3:uid="{EB1FFA07-A900-4833-B2F8-3E89BF64FA4F}" name="Documento"/>
    <tableColumn id="3" xr3:uid="{2CA2CFA4-EF40-4D38-A643-6BA69DC94AB1}" name="Fornecedor"/>
    <tableColumn id="4" xr3:uid="{277D5A31-1395-4580-ABA9-B2CA0F90A4E5}" name="COD_ID"/>
    <tableColumn id="5" xr3:uid="{3A13F384-D46D-4FB5-A210-5C2F20624F53}" name="Descrição">
      <calculatedColumnFormula>IFERROR(VLOOKUP(D2,Itens!$A$2:$E$51,2,FALSE),"")</calculatedColumnFormula>
    </tableColumn>
    <tableColumn id="6" xr3:uid="{61B1FE8D-5BE9-4E8B-8570-678886F33154}" name="Familia">
      <calculatedColumnFormula>IFERROR(VLOOKUP(D2,Itens!$A$2:$E$51,4,FALSE),"")</calculatedColumnFormula>
    </tableColumn>
    <tableColumn id="7" xr3:uid="{64387F00-D51F-4E30-8ED4-A07D9C743D9F}" name="Unidade">
      <calculatedColumnFormula>IFERROR(VLOOKUP(D2,Itens!$A$2:$E$51,3,FALSE),"")</calculatedColumnFormula>
    </tableColumn>
    <tableColumn id="8" xr3:uid="{3CB83993-D889-4E4D-8764-41D10902E9B2}" name="Quantidade" dataDxfId="35"/>
    <tableColumn id="9" xr3:uid="{4554A774-9DA8-4424-8465-3FAA99C2EE8F}" name="Preço Unitário (R$)" dataDxfId="34"/>
    <tableColumn id="10" xr3:uid="{275AD12C-27B3-44B7-88D3-A67052AEEE5F}" name="Valor Total (R$)" dataDxfId="33">
      <calculatedColumnFormula>IF(OR(H2="",I2=""),"",H2*I2)</calculatedColumnFormula>
    </tableColumn>
    <tableColumn id="11" xr3:uid="{CEB1FA60-C9C8-406A-B188-F0DCEFEFCCA4}" name="Observaçõe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CBC9CF-2897-4529-B742-3A71E95C2754}" name="Tabela3" displayName="Tabela3" ref="A1:L71" totalsRowShown="0" headerRowDxfId="32" dataDxfId="31">
  <autoFilter ref="A1:L71" xr:uid="{00000000-0001-0000-0200-000000000000}"/>
  <tableColumns count="12">
    <tableColumn id="1" xr3:uid="{BFB1C41E-850E-4FEA-AE8A-B97389D49518}" name="Data" dataDxfId="30"/>
    <tableColumn id="2" xr3:uid="{37AD095A-97CC-42D1-BDBD-CA2ABD8AB4E8}" name="Documento" dataDxfId="29"/>
    <tableColumn id="3" xr3:uid="{47168394-2054-400A-AF68-02D041DD0740}" name="Destino/Área" dataDxfId="28"/>
    <tableColumn id="4" xr3:uid="{BE78FE62-60E7-4740-A157-70D73075CCF1}" name="COD_ID" dataDxfId="27"/>
    <tableColumn id="5" xr3:uid="{0DFF5CF1-A3CA-4431-94E1-E6EE4709F550}" name="Descrição" dataDxfId="26">
      <calculatedColumnFormula>IFERROR(VLOOKUP(D2,Itens!$A$2:$E$51,2,FALSE),"")</calculatedColumnFormula>
    </tableColumn>
    <tableColumn id="6" xr3:uid="{3800EA06-1BE1-4F44-954C-0B6F25783F12}" name="Familia" dataDxfId="25">
      <calculatedColumnFormula>IFERROR(VLOOKUP(D2,Itens!$A$2:$E$51,4,FALSE),"")</calculatedColumnFormula>
    </tableColumn>
    <tableColumn id="7" xr3:uid="{F6A101D2-6162-49AE-AA17-579928E422C1}" name="Unidade" dataDxfId="24">
      <calculatedColumnFormula>IFERROR(VLOOKUP(D2,Itens!$A$2:$E$51,3,FALSE),"")</calculatedColumnFormula>
    </tableColumn>
    <tableColumn id="8" xr3:uid="{9E0D1467-F9B2-429E-8BF7-7BAB63FFEEF1}" name="Quantidade" dataDxfId="23"/>
    <tableColumn id="11" xr3:uid="{1DDB7BED-8926-4513-A9CA-984A3545AA07}" name="Preço Unitário (R$)" dataDxfId="22">
      <calculatedColumnFormula>VLOOKUP(Tabela3[[#This Row],[COD_ID]],Itens!A:E,5,0)</calculatedColumnFormula>
    </tableColumn>
    <tableColumn id="12" xr3:uid="{76DC3512-F84A-473D-AEC3-6158501BAA81}" name="Valor Total (R$)" dataDxfId="21">
      <calculatedColumnFormula>Tabela3[[#This Row],[Preço Unitário (R$)]]*Tabela3[[#This Row],[Quantidade]]</calculatedColumnFormula>
    </tableColumn>
    <tableColumn id="9" xr3:uid="{3B8D4F90-19F9-4976-A58A-345692B58A51}" name="Centro de custo" dataDxfId="20"/>
    <tableColumn id="10" xr3:uid="{E78EDD62-80EA-42CA-A709-A99D4812335B}" name="Observações" dataDxfId="1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A3CCF9-BE1C-49C6-803D-96C1275A2DE2}" name="Tabela5" displayName="Tabela5" ref="A1:O15" totalsRowShown="0" headerRowDxfId="18">
  <autoFilter ref="A1:O15" xr:uid="{29A3CCF9-BE1C-49C6-803D-96C1275A2DE2}"/>
  <tableColumns count="15">
    <tableColumn id="1" xr3:uid="{AA354858-A0BF-46E6-B50A-38A540428D96}" name="Nº Pedido"/>
    <tableColumn id="2" xr3:uid="{01D7B644-BE81-47B2-92C9-950CF3DF5B6B}" name="Data Pedido"/>
    <tableColumn id="3" xr3:uid="{47DF92A4-7E9B-4251-8886-003AD702AB79}" name="Fornecedor"/>
    <tableColumn id="4" xr3:uid="{354548B3-ADE7-4940-8E67-FAE61F78EE2E}" name="COD_ID"/>
    <tableColumn id="5" xr3:uid="{8F23795B-7064-4A29-9EF9-CD5270BBD04B}" name="Descrição">
      <calculatedColumnFormula>IFERROR(VLOOKUP(D2,Itens!$A$2:$E$51,2,FALSE),"")</calculatedColumnFormula>
    </tableColumn>
    <tableColumn id="6" xr3:uid="{9A9A584E-40A6-478F-BFE5-A38672001ADA}" name="Familia">
      <calculatedColumnFormula>IFERROR(VLOOKUP(D2,Itens!$A$2:$E$51,4,FALSE),"")</calculatedColumnFormula>
    </tableColumn>
    <tableColumn id="7" xr3:uid="{86F96118-D325-4A2C-AAFE-39E8FFFB4347}" name="Unidade">
      <calculatedColumnFormula>IFERROR(VLOOKUP(D2,Itens!$A$2:$E$51,3,FALSE),"")</calculatedColumnFormula>
    </tableColumn>
    <tableColumn id="8" xr3:uid="{74F9205E-C497-4AD0-A9FE-AE81A224EEB4}" name="Qtde Pedida"/>
    <tableColumn id="9" xr3:uid="{4009FA48-0420-40CF-9054-AF36EE95582B}" name="Qtde Recebida"/>
    <tableColumn id="10" xr3:uid="{FAA023C9-140E-4883-A37C-9A3735A74984}" name="Saldo Aberto">
      <calculatedColumnFormula>IF(H2="","",MAX(0,H2-IF(I2="",0,I2)))</calculatedColumnFormula>
    </tableColumn>
    <tableColumn id="15" xr3:uid="{6D1B36B9-12DB-4088-9D4C-5F0C29524AB5}" name="Recebidos (%)" dataDxfId="0">
      <calculatedColumnFormula>Tabela5[[#This Row],[Qtde Recebida]]/Tabela5[[#This Row],[Qtde Pedida]]</calculatedColumnFormula>
    </tableColumn>
    <tableColumn id="11" xr3:uid="{AAA3DC1C-F004-46AF-B09E-49D584878CAB}" name="Preço Unitário (R$)"/>
    <tableColumn id="12" xr3:uid="{5852D640-E855-4F36-9597-D214DDA37A11}" name="Valor Aberto (R$)">
      <calculatedColumnFormula>IF(OR(J2="",L2=""),"",J2*L2)</calculatedColumnFormula>
    </tableColumn>
    <tableColumn id="13" xr3:uid="{E980914B-FCF3-417A-A477-C1724B640AE3}" name="Previsão Entrega" dataDxfId="1"/>
    <tableColumn id="14" xr3:uid="{6329FF71-4C60-4EB3-82F8-43611E3CC8F9}" name="Statu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4B6CA8-E43B-4415-8681-74C81FBBA288}" name="Tabela4" displayName="Tabela4" ref="A1:N51" totalsRowShown="0" headerRowDxfId="17" dataDxfId="16">
  <autoFilter ref="A1:N51" xr:uid="{724B6CA8-E43B-4415-8681-74C81FBBA288}"/>
  <tableColumns count="14">
    <tableColumn id="1" xr3:uid="{9BFB61FC-D871-4039-B017-BD1B7C35F9F4}" name="COD_ID" dataDxfId="14"/>
    <tableColumn id="2" xr3:uid="{29C042C6-E5CB-4FFA-8552-0C6353FD6760}" name="Descrição" dataDxfId="12">
      <calculatedColumnFormula>VLOOKUP(Tabela4[[#This Row],[COD_ID]],Itens!A:B,2,0)</calculatedColumnFormula>
    </tableColumn>
    <tableColumn id="3" xr3:uid="{52C385D8-52CA-43A3-8E43-29C587E949A6}" name="Familia" dataDxfId="13"/>
    <tableColumn id="14" xr3:uid="{ADE8D280-6370-40F7-A627-4DCAB76C32E9}" name="Localização " dataDxfId="15"/>
    <tableColumn id="4" xr3:uid="{5C6F30CB-1B90-42AC-86AA-3B899784920B}" name="Unidade" dataDxfId="11"/>
    <tableColumn id="5" xr3:uid="{D7B84884-B90F-4198-AB68-667247E12AE6}" name="Preço Médio (R$)" dataDxfId="10">
      <calculatedColumnFormula>IFERROR(VLOOKUP(A2,Itens!$A$2:$E$51,5,FALSE),0)</calculatedColumnFormula>
    </tableColumn>
    <tableColumn id="6" xr3:uid="{5EB4075D-2233-4A32-9E35-A8AB0BB4C200}" name="Entradas" dataDxfId="9">
      <calculatedColumnFormula>SUMIFS(Entradas!$H$2:$H$48,Entradas!$D$2:$D$48,A2)</calculatedColumnFormula>
    </tableColumn>
    <tableColumn id="7" xr3:uid="{F37497DF-C139-443C-A815-DB955336718D}" name="Saídas" dataDxfId="8">
      <calculatedColumnFormula>SUMIFS(Saidas!$H$2:$H$71,Saidas!$D$2:$D$71,A2)</calculatedColumnFormula>
    </tableColumn>
    <tableColumn id="8" xr3:uid="{1ADC60B5-339D-4AEE-8287-B2865E85B904}" name="Estoque Atual" dataDxfId="7">
      <calculatedColumnFormula>G2-H2</calculatedColumnFormula>
    </tableColumn>
    <tableColumn id="13" xr3:uid="{589D0FC0-D866-4338-9842-501B334DBC4E}" name="Saldo (%)" dataDxfId="6">
      <calculatedColumnFormula>IFERROR(Tabela4[[#This Row],[Estoque Atual]]/Tabela4[[#This Row],[Entradas]],0)</calculatedColumnFormula>
    </tableColumn>
    <tableColumn id="9" xr3:uid="{63E6B191-A947-4CA3-AE99-0E19814997ED}" name="Valor em Estoque (R$)" dataDxfId="5">
      <calculatedColumnFormula>I2*F2</calculatedColumnFormula>
    </tableColumn>
    <tableColumn id="10" xr3:uid="{D9018ABE-5BEC-4EE3-AE54-E88BF266A4B6}" name="Em pedido (aberto)" dataDxfId="4">
      <calculatedColumnFormula>SUMIFS(Pedidos_Compra!$J$2:$J$121,Pedidos_Compra!$D$2:$D$121,A2)</calculatedColumnFormula>
    </tableColumn>
    <tableColumn id="11" xr3:uid="{14849479-47F8-492E-BE7C-008EE3C01300}" name="Estoque + Pedido" dataDxfId="3">
      <calculatedColumnFormula>I2+L2</calculatedColumnFormula>
    </tableColumn>
    <tableColumn id="12" xr3:uid="{DDEBD20F-D5A9-43E6-8E10-899E879F6C33}" name="Valor Potencial (R$)" dataDxfId="2">
      <calculatedColumnFormula>M2*F2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showGridLines="0" workbookViewId="0">
      <pane ySplit="1" topLeftCell="A2" activePane="bottomLeft" state="frozen"/>
      <selection pane="bottomLeft" activeCell="J9" sqref="J9"/>
    </sheetView>
  </sheetViews>
  <sheetFormatPr defaultRowHeight="15" x14ac:dyDescent="0.25"/>
  <cols>
    <col min="1" max="1" width="14" style="2" customWidth="1"/>
    <col min="2" max="2" width="52" style="3" customWidth="1"/>
    <col min="3" max="3" width="13" style="2" bestFit="1" customWidth="1"/>
    <col min="4" max="4" width="22" style="2" customWidth="1"/>
    <col min="5" max="5" width="21.5703125" style="7" bestFit="1" customWidth="1"/>
  </cols>
  <sheetData>
    <row r="1" spans="1:5" ht="20.100000000000001" customHeight="1" x14ac:dyDescent="0.25">
      <c r="A1" s="4" t="s">
        <v>320</v>
      </c>
      <c r="B1" s="5" t="s">
        <v>0</v>
      </c>
      <c r="C1" s="4" t="s">
        <v>1</v>
      </c>
      <c r="D1" s="4" t="s">
        <v>2</v>
      </c>
      <c r="E1" s="6" t="s">
        <v>3</v>
      </c>
    </row>
    <row r="2" spans="1:5" x14ac:dyDescent="0.25">
      <c r="A2" s="2" t="s">
        <v>4</v>
      </c>
      <c r="B2" s="3" t="s">
        <v>276</v>
      </c>
      <c r="C2" s="2" t="s">
        <v>5</v>
      </c>
      <c r="D2" s="2" t="s">
        <v>6</v>
      </c>
      <c r="E2" s="7">
        <v>22</v>
      </c>
    </row>
    <row r="3" spans="1:5" x14ac:dyDescent="0.25">
      <c r="A3" s="2" t="s">
        <v>7</v>
      </c>
      <c r="B3" s="3" t="s">
        <v>277</v>
      </c>
      <c r="C3" s="2" t="s">
        <v>5</v>
      </c>
      <c r="D3" s="2" t="s">
        <v>6</v>
      </c>
      <c r="E3" s="7">
        <v>18</v>
      </c>
    </row>
    <row r="4" spans="1:5" x14ac:dyDescent="0.25">
      <c r="A4" s="2" t="s">
        <v>8</v>
      </c>
      <c r="B4" s="3" t="s">
        <v>278</v>
      </c>
      <c r="C4" s="2" t="s">
        <v>5</v>
      </c>
      <c r="D4" s="2" t="s">
        <v>6</v>
      </c>
      <c r="E4" s="7">
        <v>24</v>
      </c>
    </row>
    <row r="5" spans="1:5" x14ac:dyDescent="0.25">
      <c r="A5" s="2" t="s">
        <v>9</v>
      </c>
      <c r="B5" s="3" t="s">
        <v>279</v>
      </c>
      <c r="C5" s="2" t="s">
        <v>5</v>
      </c>
      <c r="D5" s="2" t="s">
        <v>6</v>
      </c>
      <c r="E5" s="7">
        <v>110</v>
      </c>
    </row>
    <row r="6" spans="1:5" x14ac:dyDescent="0.25">
      <c r="A6" s="2" t="s">
        <v>10</v>
      </c>
      <c r="B6" s="3" t="s">
        <v>280</v>
      </c>
      <c r="C6" s="2" t="s">
        <v>5</v>
      </c>
      <c r="D6" s="2" t="s">
        <v>6</v>
      </c>
      <c r="E6" s="7">
        <v>30</v>
      </c>
    </row>
    <row r="7" spans="1:5" x14ac:dyDescent="0.25">
      <c r="A7" s="2" t="s">
        <v>11</v>
      </c>
      <c r="B7" s="3" t="s">
        <v>281</v>
      </c>
      <c r="C7" s="2" t="s">
        <v>12</v>
      </c>
      <c r="D7" s="2" t="s">
        <v>6</v>
      </c>
      <c r="E7" s="7">
        <v>75</v>
      </c>
    </row>
    <row r="8" spans="1:5" x14ac:dyDescent="0.25">
      <c r="A8" s="2" t="s">
        <v>13</v>
      </c>
      <c r="B8" s="3" t="s">
        <v>282</v>
      </c>
      <c r="C8" s="2" t="s">
        <v>12</v>
      </c>
      <c r="D8" s="2" t="s">
        <v>6</v>
      </c>
      <c r="E8" s="7">
        <v>320</v>
      </c>
    </row>
    <row r="9" spans="1:5" x14ac:dyDescent="0.25">
      <c r="A9" s="2" t="s">
        <v>14</v>
      </c>
      <c r="B9" s="3" t="s">
        <v>283</v>
      </c>
      <c r="C9" s="2" t="s">
        <v>12</v>
      </c>
      <c r="D9" s="2" t="s">
        <v>6</v>
      </c>
      <c r="E9" s="7">
        <v>280</v>
      </c>
    </row>
    <row r="10" spans="1:5" x14ac:dyDescent="0.25">
      <c r="A10" s="2" t="s">
        <v>15</v>
      </c>
      <c r="B10" s="3" t="s">
        <v>284</v>
      </c>
      <c r="C10" s="2" t="s">
        <v>5</v>
      </c>
      <c r="D10" s="2" t="s">
        <v>6</v>
      </c>
      <c r="E10" s="7">
        <v>55</v>
      </c>
    </row>
    <row r="11" spans="1:5" x14ac:dyDescent="0.25">
      <c r="A11" s="2" t="s">
        <v>16</v>
      </c>
      <c r="B11" s="3" t="s">
        <v>285</v>
      </c>
      <c r="C11" s="2" t="s">
        <v>5</v>
      </c>
      <c r="D11" s="2" t="s">
        <v>6</v>
      </c>
      <c r="E11" s="7">
        <v>45</v>
      </c>
    </row>
    <row r="12" spans="1:5" x14ac:dyDescent="0.25">
      <c r="A12" s="2" t="s">
        <v>17</v>
      </c>
      <c r="B12" s="3" t="s">
        <v>18</v>
      </c>
      <c r="C12" s="2" t="s">
        <v>5</v>
      </c>
      <c r="D12" s="2" t="s">
        <v>19</v>
      </c>
      <c r="E12" s="7">
        <v>120</v>
      </c>
    </row>
    <row r="13" spans="1:5" x14ac:dyDescent="0.25">
      <c r="A13" s="2" t="s">
        <v>20</v>
      </c>
      <c r="B13" s="3" t="s">
        <v>286</v>
      </c>
      <c r="C13" s="2" t="s">
        <v>12</v>
      </c>
      <c r="D13" s="2" t="s">
        <v>19</v>
      </c>
      <c r="E13" s="7">
        <v>400</v>
      </c>
    </row>
    <row r="14" spans="1:5" x14ac:dyDescent="0.25">
      <c r="A14" s="2" t="s">
        <v>21</v>
      </c>
      <c r="B14" s="3" t="s">
        <v>287</v>
      </c>
      <c r="C14" s="2" t="s">
        <v>5</v>
      </c>
      <c r="D14" s="2" t="s">
        <v>19</v>
      </c>
      <c r="E14" s="7">
        <v>650</v>
      </c>
    </row>
    <row r="15" spans="1:5" x14ac:dyDescent="0.25">
      <c r="A15" s="2" t="s">
        <v>22</v>
      </c>
      <c r="B15" s="3" t="s">
        <v>288</v>
      </c>
      <c r="C15" s="2" t="s">
        <v>5</v>
      </c>
      <c r="D15" s="2" t="s">
        <v>19</v>
      </c>
      <c r="E15" s="7">
        <v>90</v>
      </c>
    </row>
    <row r="16" spans="1:5" x14ac:dyDescent="0.25">
      <c r="A16" s="2" t="s">
        <v>23</v>
      </c>
      <c r="B16" s="3" t="s">
        <v>289</v>
      </c>
      <c r="C16" s="2" t="s">
        <v>5</v>
      </c>
      <c r="D16" s="2" t="s">
        <v>19</v>
      </c>
      <c r="E16" s="7">
        <v>220</v>
      </c>
    </row>
    <row r="17" spans="1:5" x14ac:dyDescent="0.25">
      <c r="A17" s="2" t="s">
        <v>24</v>
      </c>
      <c r="B17" s="3" t="s">
        <v>290</v>
      </c>
      <c r="C17" s="2" t="s">
        <v>12</v>
      </c>
      <c r="D17" s="2" t="s">
        <v>19</v>
      </c>
      <c r="E17" s="7">
        <v>180</v>
      </c>
    </row>
    <row r="18" spans="1:5" x14ac:dyDescent="0.25">
      <c r="A18" s="2" t="s">
        <v>25</v>
      </c>
      <c r="B18" s="3" t="s">
        <v>291</v>
      </c>
      <c r="C18" s="2" t="s">
        <v>5</v>
      </c>
      <c r="D18" s="2" t="s">
        <v>26</v>
      </c>
      <c r="E18" s="7">
        <v>500</v>
      </c>
    </row>
    <row r="19" spans="1:5" x14ac:dyDescent="0.25">
      <c r="A19" s="2" t="s">
        <v>27</v>
      </c>
      <c r="B19" s="3" t="s">
        <v>299</v>
      </c>
      <c r="C19" s="2" t="s">
        <v>5</v>
      </c>
      <c r="D19" s="2" t="s">
        <v>26</v>
      </c>
      <c r="E19" s="7">
        <v>220</v>
      </c>
    </row>
    <row r="20" spans="1:5" x14ac:dyDescent="0.25">
      <c r="A20" s="2" t="s">
        <v>28</v>
      </c>
      <c r="B20" s="3" t="s">
        <v>298</v>
      </c>
      <c r="C20" s="2" t="s">
        <v>12</v>
      </c>
      <c r="D20" s="2" t="s">
        <v>26</v>
      </c>
      <c r="E20" s="7">
        <v>180</v>
      </c>
    </row>
    <row r="21" spans="1:5" x14ac:dyDescent="0.25">
      <c r="A21" s="2" t="s">
        <v>29</v>
      </c>
      <c r="B21" s="3" t="s">
        <v>297</v>
      </c>
      <c r="C21" s="2" t="s">
        <v>12</v>
      </c>
      <c r="D21" s="2" t="s">
        <v>26</v>
      </c>
      <c r="E21" s="7">
        <v>200</v>
      </c>
    </row>
    <row r="22" spans="1:5" x14ac:dyDescent="0.25">
      <c r="A22" s="2" t="s">
        <v>30</v>
      </c>
      <c r="B22" s="3" t="s">
        <v>292</v>
      </c>
      <c r="C22" s="2" t="s">
        <v>12</v>
      </c>
      <c r="D22" s="2" t="s">
        <v>31</v>
      </c>
      <c r="E22" s="7">
        <v>3.2</v>
      </c>
    </row>
    <row r="23" spans="1:5" x14ac:dyDescent="0.25">
      <c r="A23" s="2" t="s">
        <v>32</v>
      </c>
      <c r="B23" s="3" t="s">
        <v>293</v>
      </c>
      <c r="C23" s="2" t="s">
        <v>12</v>
      </c>
      <c r="D23" s="2" t="s">
        <v>33</v>
      </c>
      <c r="E23" s="7">
        <v>1.8</v>
      </c>
    </row>
    <row r="24" spans="1:5" x14ac:dyDescent="0.25">
      <c r="A24" s="2" t="s">
        <v>34</v>
      </c>
      <c r="B24" s="3" t="s">
        <v>294</v>
      </c>
      <c r="C24" s="2" t="s">
        <v>12</v>
      </c>
      <c r="D24" s="2" t="s">
        <v>31</v>
      </c>
      <c r="E24" s="7">
        <v>3.5</v>
      </c>
    </row>
    <row r="25" spans="1:5" x14ac:dyDescent="0.25">
      <c r="A25" s="2" t="s">
        <v>35</v>
      </c>
      <c r="B25" s="3" t="s">
        <v>295</v>
      </c>
      <c r="C25" s="2" t="s">
        <v>12</v>
      </c>
      <c r="D25" s="2" t="s">
        <v>36</v>
      </c>
      <c r="E25" s="7">
        <v>3</v>
      </c>
    </row>
    <row r="26" spans="1:5" x14ac:dyDescent="0.25">
      <c r="A26" s="2" t="s">
        <v>37</v>
      </c>
      <c r="B26" s="3" t="s">
        <v>296</v>
      </c>
      <c r="C26" s="2" t="s">
        <v>12</v>
      </c>
      <c r="D26" s="2" t="s">
        <v>38</v>
      </c>
      <c r="E26" s="7">
        <v>4.8</v>
      </c>
    </row>
    <row r="27" spans="1:5" x14ac:dyDescent="0.25">
      <c r="A27" s="2" t="s">
        <v>39</v>
      </c>
      <c r="B27" s="3" t="s">
        <v>300</v>
      </c>
      <c r="C27" s="2" t="s">
        <v>12</v>
      </c>
      <c r="D27" s="2" t="s">
        <v>40</v>
      </c>
      <c r="E27" s="7">
        <v>4.2</v>
      </c>
    </row>
    <row r="28" spans="1:5" x14ac:dyDescent="0.25">
      <c r="A28" s="2" t="s">
        <v>41</v>
      </c>
      <c r="B28" s="3" t="s">
        <v>301</v>
      </c>
      <c r="C28" s="2" t="s">
        <v>12</v>
      </c>
      <c r="D28" s="2" t="s">
        <v>40</v>
      </c>
      <c r="E28" s="7">
        <v>4</v>
      </c>
    </row>
    <row r="29" spans="1:5" x14ac:dyDescent="0.25">
      <c r="A29" s="2" t="s">
        <v>42</v>
      </c>
      <c r="B29" s="3" t="s">
        <v>302</v>
      </c>
      <c r="C29" s="2" t="s">
        <v>12</v>
      </c>
      <c r="D29" s="2" t="s">
        <v>40</v>
      </c>
      <c r="E29" s="7">
        <v>1.6</v>
      </c>
    </row>
    <row r="30" spans="1:5" x14ac:dyDescent="0.25">
      <c r="A30" s="2" t="s">
        <v>43</v>
      </c>
      <c r="B30" s="3" t="s">
        <v>303</v>
      </c>
      <c r="C30" s="2" t="s">
        <v>12</v>
      </c>
      <c r="D30" s="2" t="s">
        <v>40</v>
      </c>
      <c r="E30" s="7">
        <v>3.2</v>
      </c>
    </row>
    <row r="31" spans="1:5" x14ac:dyDescent="0.25">
      <c r="A31" s="2" t="s">
        <v>44</v>
      </c>
      <c r="B31" s="3" t="s">
        <v>304</v>
      </c>
      <c r="C31" s="2" t="s">
        <v>12</v>
      </c>
      <c r="D31" s="2" t="s">
        <v>45</v>
      </c>
      <c r="E31" s="7">
        <v>3.6</v>
      </c>
    </row>
    <row r="32" spans="1:5" x14ac:dyDescent="0.25">
      <c r="A32" s="2" t="s">
        <v>46</v>
      </c>
      <c r="B32" s="3" t="s">
        <v>305</v>
      </c>
      <c r="C32" s="2" t="s">
        <v>12</v>
      </c>
      <c r="D32" s="2" t="s">
        <v>45</v>
      </c>
      <c r="E32" s="7">
        <v>4</v>
      </c>
    </row>
    <row r="33" spans="1:5" x14ac:dyDescent="0.25">
      <c r="A33" s="2" t="s">
        <v>47</v>
      </c>
      <c r="B33" s="3" t="s">
        <v>306</v>
      </c>
      <c r="C33" s="2" t="s">
        <v>12</v>
      </c>
      <c r="D33" s="2" t="s">
        <v>45</v>
      </c>
      <c r="E33" s="7">
        <v>4.2</v>
      </c>
    </row>
    <row r="34" spans="1:5" x14ac:dyDescent="0.25">
      <c r="A34" s="2" t="s">
        <v>48</v>
      </c>
      <c r="B34" s="3" t="s">
        <v>49</v>
      </c>
      <c r="C34" s="2" t="s">
        <v>50</v>
      </c>
      <c r="D34" s="2" t="s">
        <v>51</v>
      </c>
      <c r="E34" s="7">
        <v>180</v>
      </c>
    </row>
    <row r="35" spans="1:5" x14ac:dyDescent="0.25">
      <c r="A35" s="2" t="s">
        <v>52</v>
      </c>
      <c r="B35" s="3" t="s">
        <v>53</v>
      </c>
      <c r="C35" s="2" t="s">
        <v>50</v>
      </c>
      <c r="D35" s="2" t="s">
        <v>51</v>
      </c>
      <c r="E35" s="7">
        <v>160</v>
      </c>
    </row>
    <row r="36" spans="1:5" x14ac:dyDescent="0.25">
      <c r="A36" s="2" t="s">
        <v>54</v>
      </c>
      <c r="B36" s="3" t="s">
        <v>55</v>
      </c>
      <c r="C36" s="2" t="s">
        <v>50</v>
      </c>
      <c r="D36" s="2" t="s">
        <v>56</v>
      </c>
      <c r="E36" s="7">
        <v>210</v>
      </c>
    </row>
    <row r="37" spans="1:5" x14ac:dyDescent="0.25">
      <c r="A37" s="2" t="s">
        <v>57</v>
      </c>
      <c r="B37" s="3" t="s">
        <v>58</v>
      </c>
      <c r="C37" s="2" t="s">
        <v>12</v>
      </c>
      <c r="D37" s="2" t="s">
        <v>59</v>
      </c>
      <c r="E37" s="7">
        <v>1.2</v>
      </c>
    </row>
    <row r="38" spans="1:5" x14ac:dyDescent="0.25">
      <c r="A38" s="2" t="s">
        <v>60</v>
      </c>
      <c r="B38" s="3" t="s">
        <v>61</v>
      </c>
      <c r="C38" s="2" t="s">
        <v>12</v>
      </c>
      <c r="D38" s="2" t="s">
        <v>59</v>
      </c>
      <c r="E38" s="7">
        <v>0.95</v>
      </c>
    </row>
    <row r="39" spans="1:5" x14ac:dyDescent="0.25">
      <c r="A39" s="2" t="s">
        <v>62</v>
      </c>
      <c r="B39" s="3" t="s">
        <v>63</v>
      </c>
      <c r="C39" s="2" t="s">
        <v>12</v>
      </c>
      <c r="D39" s="2" t="s">
        <v>64</v>
      </c>
      <c r="E39" s="7">
        <v>5.5</v>
      </c>
    </row>
    <row r="40" spans="1:5" x14ac:dyDescent="0.25">
      <c r="A40" s="2" t="s">
        <v>65</v>
      </c>
      <c r="B40" s="3" t="s">
        <v>66</v>
      </c>
      <c r="C40" s="2" t="s">
        <v>12</v>
      </c>
      <c r="D40" s="2" t="s">
        <v>64</v>
      </c>
      <c r="E40" s="7">
        <v>4</v>
      </c>
    </row>
    <row r="41" spans="1:5" x14ac:dyDescent="0.25">
      <c r="A41" s="2" t="s">
        <v>67</v>
      </c>
      <c r="B41" s="3" t="s">
        <v>307</v>
      </c>
      <c r="C41" s="2" t="s">
        <v>12</v>
      </c>
      <c r="D41" s="2" t="s">
        <v>68</v>
      </c>
      <c r="E41" s="7">
        <v>12</v>
      </c>
    </row>
    <row r="42" spans="1:5" x14ac:dyDescent="0.25">
      <c r="A42" s="2" t="s">
        <v>69</v>
      </c>
      <c r="B42" s="3" t="s">
        <v>308</v>
      </c>
      <c r="C42" s="2" t="s">
        <v>12</v>
      </c>
      <c r="D42" s="2" t="s">
        <v>68</v>
      </c>
      <c r="E42" s="7">
        <v>14</v>
      </c>
    </row>
    <row r="43" spans="1:5" x14ac:dyDescent="0.25">
      <c r="A43" s="2" t="s">
        <v>70</v>
      </c>
      <c r="B43" s="3" t="s">
        <v>309</v>
      </c>
      <c r="C43" s="2" t="s">
        <v>12</v>
      </c>
      <c r="D43" s="2" t="s">
        <v>68</v>
      </c>
      <c r="E43" s="7">
        <v>10</v>
      </c>
    </row>
    <row r="44" spans="1:5" x14ac:dyDescent="0.25">
      <c r="A44" s="2" t="s">
        <v>71</v>
      </c>
      <c r="B44" s="3" t="s">
        <v>310</v>
      </c>
      <c r="C44" s="2" t="s">
        <v>12</v>
      </c>
      <c r="D44" s="2" t="s">
        <v>68</v>
      </c>
      <c r="E44" s="7">
        <v>25</v>
      </c>
    </row>
    <row r="45" spans="1:5" x14ac:dyDescent="0.25">
      <c r="A45" s="2" t="s">
        <v>72</v>
      </c>
      <c r="B45" s="3" t="s">
        <v>73</v>
      </c>
      <c r="C45" s="2" t="s">
        <v>12</v>
      </c>
      <c r="D45" s="2" t="s">
        <v>68</v>
      </c>
      <c r="E45" s="7">
        <v>18</v>
      </c>
    </row>
    <row r="46" spans="1:5" x14ac:dyDescent="0.25">
      <c r="A46" s="2" t="s">
        <v>74</v>
      </c>
      <c r="B46" s="3" t="s">
        <v>311</v>
      </c>
      <c r="C46" s="2" t="s">
        <v>5</v>
      </c>
      <c r="D46" s="2" t="s">
        <v>75</v>
      </c>
      <c r="E46" s="7">
        <v>45</v>
      </c>
    </row>
    <row r="47" spans="1:5" x14ac:dyDescent="0.25">
      <c r="A47" s="2" t="s">
        <v>76</v>
      </c>
      <c r="B47" s="3" t="s">
        <v>312</v>
      </c>
      <c r="C47" s="2" t="s">
        <v>12</v>
      </c>
      <c r="D47" s="2" t="s">
        <v>75</v>
      </c>
      <c r="E47" s="7">
        <v>120</v>
      </c>
    </row>
    <row r="48" spans="1:5" x14ac:dyDescent="0.25">
      <c r="A48" s="2" t="s">
        <v>77</v>
      </c>
      <c r="B48" s="3" t="s">
        <v>313</v>
      </c>
      <c r="C48" s="2" t="s">
        <v>12</v>
      </c>
      <c r="D48" s="2" t="s">
        <v>78</v>
      </c>
      <c r="E48" s="7">
        <v>1.2</v>
      </c>
    </row>
    <row r="49" spans="1:5" x14ac:dyDescent="0.25">
      <c r="A49" s="2" t="s">
        <v>79</v>
      </c>
      <c r="B49" s="3" t="s">
        <v>80</v>
      </c>
      <c r="C49" s="2" t="s">
        <v>12</v>
      </c>
      <c r="D49" s="2" t="s">
        <v>78</v>
      </c>
      <c r="E49" s="7">
        <v>2.8</v>
      </c>
    </row>
    <row r="50" spans="1:5" x14ac:dyDescent="0.25">
      <c r="A50" s="2" t="s">
        <v>81</v>
      </c>
      <c r="B50" s="3" t="s">
        <v>314</v>
      </c>
      <c r="C50" s="2" t="s">
        <v>5</v>
      </c>
      <c r="D50" s="2" t="s">
        <v>82</v>
      </c>
      <c r="E50" s="7">
        <v>20</v>
      </c>
    </row>
    <row r="51" spans="1:5" x14ac:dyDescent="0.25">
      <c r="A51" s="2" t="s">
        <v>83</v>
      </c>
      <c r="B51" s="3" t="s">
        <v>315</v>
      </c>
      <c r="C51" s="2" t="s">
        <v>5</v>
      </c>
      <c r="D51" s="2" t="s">
        <v>82</v>
      </c>
      <c r="E51" s="7">
        <v>35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8"/>
  <sheetViews>
    <sheetView showGridLines="0" workbookViewId="0">
      <pane ySplit="1" topLeftCell="A2" activePane="bottomLeft" state="frozen"/>
      <selection pane="bottomLeft" activeCell="E58" sqref="E58"/>
    </sheetView>
  </sheetViews>
  <sheetFormatPr defaultRowHeight="15" x14ac:dyDescent="0.25"/>
  <cols>
    <col min="1" max="1" width="10.7109375" style="11" bestFit="1" customWidth="1"/>
    <col min="2" max="2" width="18.5703125" customWidth="1"/>
    <col min="3" max="3" width="26.85546875" customWidth="1"/>
    <col min="4" max="4" width="13.5703125" bestFit="1" customWidth="1"/>
    <col min="5" max="5" width="48.42578125" bestFit="1" customWidth="1"/>
    <col min="6" max="6" width="21" bestFit="1" customWidth="1"/>
    <col min="7" max="7" width="10.7109375" bestFit="1" customWidth="1"/>
    <col min="8" max="8" width="16" style="1" bestFit="1" customWidth="1"/>
    <col min="9" max="9" width="22.5703125" style="12" bestFit="1" customWidth="1"/>
    <col min="10" max="10" width="19.28515625" style="12" bestFit="1" customWidth="1"/>
    <col min="11" max="11" width="19.140625" bestFit="1" customWidth="1"/>
  </cols>
  <sheetData>
    <row r="1" spans="1:11" ht="20.100000000000001" customHeight="1" x14ac:dyDescent="0.25">
      <c r="A1" s="10" t="s">
        <v>84</v>
      </c>
      <c r="B1" s="4" t="s">
        <v>85</v>
      </c>
      <c r="C1" s="4" t="s">
        <v>86</v>
      </c>
      <c r="D1" s="4" t="s">
        <v>320</v>
      </c>
      <c r="E1" s="4" t="s">
        <v>0</v>
      </c>
      <c r="F1" s="4" t="s">
        <v>2</v>
      </c>
      <c r="G1" s="4" t="s">
        <v>1</v>
      </c>
      <c r="H1" s="4" t="s">
        <v>87</v>
      </c>
      <c r="I1" s="6" t="s">
        <v>88</v>
      </c>
      <c r="J1" s="6" t="s">
        <v>89</v>
      </c>
      <c r="K1" s="4" t="s">
        <v>90</v>
      </c>
    </row>
    <row r="2" spans="1:11" x14ac:dyDescent="0.25">
      <c r="A2" s="11">
        <v>45476</v>
      </c>
      <c r="B2" t="s">
        <v>91</v>
      </c>
      <c r="C2" t="s">
        <v>92</v>
      </c>
      <c r="D2" t="s">
        <v>70</v>
      </c>
      <c r="E2" t="str">
        <f>IFERROR(VLOOKUP(D2,Itens!$A$2:$E$51,2,FALSE),"")</f>
        <v>Manganês (Mn)</v>
      </c>
      <c r="F2" t="str">
        <f>IFERROR(VLOOKUP(D2,Itens!$A$2:$E$51,4,FALSE),"")</f>
        <v>Micronutriente</v>
      </c>
      <c r="G2" t="str">
        <f>IFERROR(VLOOKUP(D2,Itens!$A$2:$E$51,3,FALSE),"")</f>
        <v>kg</v>
      </c>
      <c r="H2" s="1">
        <v>100</v>
      </c>
      <c r="I2" s="12">
        <v>10.87</v>
      </c>
      <c r="J2" s="12">
        <f t="shared" ref="J2:J33" si="0">IF(OR(H2="",I2=""),"",H2*I2)</f>
        <v>1087</v>
      </c>
      <c r="K2" t="s">
        <v>93</v>
      </c>
    </row>
    <row r="3" spans="1:11" x14ac:dyDescent="0.25">
      <c r="A3" s="11">
        <v>45480</v>
      </c>
      <c r="B3" t="s">
        <v>94</v>
      </c>
      <c r="C3" t="s">
        <v>92</v>
      </c>
      <c r="D3" t="s">
        <v>10</v>
      </c>
      <c r="E3" t="str">
        <f>IFERROR(VLOOKUP(D3,Itens!$A$2:$E$51,2,FALSE),"")</f>
        <v>Diuron 500 SC</v>
      </c>
      <c r="F3" t="str">
        <f>IFERROR(VLOOKUP(D3,Itens!$A$2:$E$51,4,FALSE),"")</f>
        <v>Herbicida</v>
      </c>
      <c r="G3" t="str">
        <f>IFERROR(VLOOKUP(D3,Itens!$A$2:$E$51,3,FALSE),"")</f>
        <v>L</v>
      </c>
      <c r="H3" s="1">
        <v>250</v>
      </c>
      <c r="I3" s="12">
        <v>29.44</v>
      </c>
      <c r="J3" s="12">
        <f t="shared" si="0"/>
        <v>7360</v>
      </c>
      <c r="K3" t="s">
        <v>95</v>
      </c>
    </row>
    <row r="4" spans="1:11" x14ac:dyDescent="0.25">
      <c r="A4" s="11">
        <v>45481</v>
      </c>
      <c r="B4" t="s">
        <v>96</v>
      </c>
      <c r="C4" t="s">
        <v>97</v>
      </c>
      <c r="D4" t="s">
        <v>47</v>
      </c>
      <c r="E4" t="str">
        <f>IFERROR(VLOOKUP(D4,Itens!$A$2:$E$51,2,FALSE),"")</f>
        <v>NPK 08-28-16</v>
      </c>
      <c r="F4" t="str">
        <f>IFERROR(VLOOKUP(D4,Itens!$A$2:$E$51,4,FALSE),"")</f>
        <v>Fertilizante (NPK)</v>
      </c>
      <c r="G4" t="str">
        <f>IFERROR(VLOOKUP(D4,Itens!$A$2:$E$51,3,FALSE),"")</f>
        <v>kg</v>
      </c>
      <c r="H4" s="1">
        <v>1000</v>
      </c>
      <c r="I4" s="12">
        <v>4.04</v>
      </c>
      <c r="J4" s="12">
        <f t="shared" si="0"/>
        <v>4040</v>
      </c>
      <c r="K4" t="s">
        <v>98</v>
      </c>
    </row>
    <row r="5" spans="1:11" x14ac:dyDescent="0.25">
      <c r="A5" s="11">
        <v>45483</v>
      </c>
      <c r="B5" t="s">
        <v>99</v>
      </c>
      <c r="C5" t="s">
        <v>100</v>
      </c>
      <c r="D5" t="s">
        <v>79</v>
      </c>
      <c r="E5" t="str">
        <f>IFERROR(VLOOKUP(D5,Itens!$A$2:$E$51,2,FALSE),"")</f>
        <v>Fertilizante organomineral NPK (formulação padrão)</v>
      </c>
      <c r="F5" t="str">
        <f>IFERROR(VLOOKUP(D5,Itens!$A$2:$E$51,4,FALSE),"")</f>
        <v>Organomineral</v>
      </c>
      <c r="G5" t="str">
        <f>IFERROR(VLOOKUP(D5,Itens!$A$2:$E$51,3,FALSE),"")</f>
        <v>kg</v>
      </c>
      <c r="H5" s="1">
        <v>2000</v>
      </c>
      <c r="I5" s="12">
        <v>2.61</v>
      </c>
      <c r="J5" s="12">
        <f t="shared" si="0"/>
        <v>5220</v>
      </c>
      <c r="K5" t="s">
        <v>95</v>
      </c>
    </row>
    <row r="6" spans="1:11" x14ac:dyDescent="0.25">
      <c r="A6" s="11">
        <v>45499</v>
      </c>
      <c r="B6" t="s">
        <v>101</v>
      </c>
      <c r="C6" t="s">
        <v>102</v>
      </c>
      <c r="D6" t="s">
        <v>4</v>
      </c>
      <c r="E6" t="str">
        <f>IFERROR(VLOOKUP(D6,Itens!$A$2:$E$51,2,FALSE),"")</f>
        <v>Glifosato 480 SL</v>
      </c>
      <c r="F6" t="str">
        <f>IFERROR(VLOOKUP(D6,Itens!$A$2:$E$51,4,FALSE),"")</f>
        <v>Herbicida</v>
      </c>
      <c r="G6" t="str">
        <f>IFERROR(VLOOKUP(D6,Itens!$A$2:$E$51,3,FALSE),"")</f>
        <v>L</v>
      </c>
      <c r="H6" s="1">
        <v>150</v>
      </c>
      <c r="I6" s="12">
        <v>21.21</v>
      </c>
      <c r="J6" s="12">
        <f t="shared" si="0"/>
        <v>3181.5</v>
      </c>
      <c r="K6" t="s">
        <v>95</v>
      </c>
    </row>
    <row r="7" spans="1:11" x14ac:dyDescent="0.25">
      <c r="A7" s="11">
        <v>45529</v>
      </c>
      <c r="B7" t="s">
        <v>103</v>
      </c>
      <c r="C7" t="s">
        <v>104</v>
      </c>
      <c r="D7" t="s">
        <v>54</v>
      </c>
      <c r="E7" t="str">
        <f>IFERROR(VLOOKUP(D7,Itens!$A$2:$E$51,2,FALSE),"")</f>
        <v>Gesso agrícola (sulfato de cálcio)</v>
      </c>
      <c r="F7" t="str">
        <f>IFERROR(VLOOKUP(D7,Itens!$A$2:$E$51,4,FALSE),"")</f>
        <v>Condicionador de solo</v>
      </c>
      <c r="G7" t="str">
        <f>IFERROR(VLOOKUP(D7,Itens!$A$2:$E$51,3,FALSE),"")</f>
        <v>t</v>
      </c>
      <c r="H7" s="1">
        <v>50</v>
      </c>
      <c r="I7" s="12">
        <v>195.49</v>
      </c>
      <c r="J7" s="12">
        <f t="shared" si="0"/>
        <v>9774.5</v>
      </c>
    </row>
    <row r="8" spans="1:11" x14ac:dyDescent="0.25">
      <c r="A8" s="11">
        <v>45531</v>
      </c>
      <c r="B8" t="s">
        <v>105</v>
      </c>
      <c r="C8" t="s">
        <v>92</v>
      </c>
      <c r="D8" t="s">
        <v>22</v>
      </c>
      <c r="E8" t="str">
        <f>IFERROR(VLOOKUP(D8,Itens!$A$2:$E$51,2,FALSE),"")</f>
        <v xml:space="preserve"> Lambda-cialotrina 50 EC</v>
      </c>
      <c r="F8" t="str">
        <f>IFERROR(VLOOKUP(D8,Itens!$A$2:$E$51,4,FALSE),"")</f>
        <v>Inseticida</v>
      </c>
      <c r="G8" t="str">
        <f>IFERROR(VLOOKUP(D8,Itens!$A$2:$E$51,3,FALSE),"")</f>
        <v>L</v>
      </c>
      <c r="H8" s="1">
        <v>50</v>
      </c>
      <c r="I8" s="12">
        <v>95.84</v>
      </c>
      <c r="J8" s="12">
        <f t="shared" si="0"/>
        <v>4792</v>
      </c>
      <c r="K8" t="s">
        <v>93</v>
      </c>
    </row>
    <row r="9" spans="1:11" x14ac:dyDescent="0.25">
      <c r="A9" s="11">
        <v>45544</v>
      </c>
      <c r="B9" t="s">
        <v>106</v>
      </c>
      <c r="C9" t="s">
        <v>107</v>
      </c>
      <c r="D9" t="s">
        <v>76</v>
      </c>
      <c r="E9" t="str">
        <f>IFERROR(VLOOKUP(D9,Itens!$A$2:$E$51,2,FALSE),"")</f>
        <v>Bacillus spp. promotor de crescimento</v>
      </c>
      <c r="F9" t="str">
        <f>IFERROR(VLOOKUP(D9,Itens!$A$2:$E$51,4,FALSE),"")</f>
        <v>Inoculante</v>
      </c>
      <c r="G9" t="str">
        <f>IFERROR(VLOOKUP(D9,Itens!$A$2:$E$51,3,FALSE),"")</f>
        <v>kg</v>
      </c>
      <c r="H9" s="1">
        <v>60</v>
      </c>
      <c r="I9" s="12">
        <v>129.02000000000001</v>
      </c>
      <c r="J9" s="12">
        <f t="shared" si="0"/>
        <v>7741.2000000000007</v>
      </c>
      <c r="K9" t="s">
        <v>93</v>
      </c>
    </row>
    <row r="10" spans="1:11" x14ac:dyDescent="0.25">
      <c r="A10" s="11">
        <v>45547</v>
      </c>
      <c r="B10" t="s">
        <v>108</v>
      </c>
      <c r="C10" t="s">
        <v>102</v>
      </c>
      <c r="D10" t="s">
        <v>20</v>
      </c>
      <c r="E10" t="str">
        <f>IFERROR(VLOOKUP(D10,Itens!$A$2:$E$51,2,FALSE),"")</f>
        <v>Tiametoxam 250 WG</v>
      </c>
      <c r="F10" t="str">
        <f>IFERROR(VLOOKUP(D10,Itens!$A$2:$E$51,4,FALSE),"")</f>
        <v>Inseticida</v>
      </c>
      <c r="G10" t="str">
        <f>IFERROR(VLOOKUP(D10,Itens!$A$2:$E$51,3,FALSE),"")</f>
        <v>kg</v>
      </c>
      <c r="H10" s="1">
        <v>15</v>
      </c>
      <c r="I10" s="12">
        <v>406.46</v>
      </c>
      <c r="J10" s="12">
        <f t="shared" si="0"/>
        <v>6096.9</v>
      </c>
      <c r="K10" t="s">
        <v>95</v>
      </c>
    </row>
    <row r="11" spans="1:11" x14ac:dyDescent="0.25">
      <c r="A11" s="11">
        <v>45585</v>
      </c>
      <c r="B11" t="s">
        <v>109</v>
      </c>
      <c r="C11" t="s">
        <v>110</v>
      </c>
      <c r="D11" t="s">
        <v>57</v>
      </c>
      <c r="E11" t="str">
        <f>IFERROR(VLOOKUP(D11,Itens!$A$2:$E$51,2,FALSE),"")</f>
        <v>Cal virgem agrícola</v>
      </c>
      <c r="F11" t="str">
        <f>IFERROR(VLOOKUP(D11,Itens!$A$2:$E$51,4,FALSE),"")</f>
        <v>Corretivo (Calagem)</v>
      </c>
      <c r="G11" t="str">
        <f>IFERROR(VLOOKUP(D11,Itens!$A$2:$E$51,3,FALSE),"")</f>
        <v>kg</v>
      </c>
      <c r="H11" s="1">
        <v>1000</v>
      </c>
      <c r="I11" s="12">
        <v>1.1499999999999999</v>
      </c>
      <c r="J11" s="12">
        <f t="shared" si="0"/>
        <v>1150</v>
      </c>
      <c r="K11" t="s">
        <v>93</v>
      </c>
    </row>
    <row r="12" spans="1:11" x14ac:dyDescent="0.25">
      <c r="A12" s="11">
        <v>45605</v>
      </c>
      <c r="B12" t="s">
        <v>111</v>
      </c>
      <c r="C12" t="s">
        <v>104</v>
      </c>
      <c r="D12" t="s">
        <v>43</v>
      </c>
      <c r="E12" t="str">
        <f>IFERROR(VLOOKUP(D12,Itens!$A$2:$E$51,2,FALSE),"")</f>
        <v>Superfosfato triplo (TSP)</v>
      </c>
      <c r="F12" t="str">
        <f>IFERROR(VLOOKUP(D12,Itens!$A$2:$E$51,4,FALSE),"")</f>
        <v>Fosfatado</v>
      </c>
      <c r="G12" t="str">
        <f>IFERROR(VLOOKUP(D12,Itens!$A$2:$E$51,3,FALSE),"")</f>
        <v>kg</v>
      </c>
      <c r="H12" s="1">
        <v>20000</v>
      </c>
      <c r="I12" s="12">
        <v>3.49</v>
      </c>
      <c r="J12" s="12">
        <f t="shared" si="0"/>
        <v>69800</v>
      </c>
      <c r="K12" t="s">
        <v>95</v>
      </c>
    </row>
    <row r="13" spans="1:11" x14ac:dyDescent="0.25">
      <c r="A13" s="11">
        <v>45608</v>
      </c>
      <c r="B13" t="s">
        <v>112</v>
      </c>
      <c r="C13" t="s">
        <v>104</v>
      </c>
      <c r="D13" t="s">
        <v>79</v>
      </c>
      <c r="E13" t="str">
        <f>IFERROR(VLOOKUP(D13,Itens!$A$2:$E$51,2,FALSE),"")</f>
        <v>Fertilizante organomineral NPK (formulação padrão)</v>
      </c>
      <c r="F13" t="str">
        <f>IFERROR(VLOOKUP(D13,Itens!$A$2:$E$51,4,FALSE),"")</f>
        <v>Organomineral</v>
      </c>
      <c r="G13" t="str">
        <f>IFERROR(VLOOKUP(D13,Itens!$A$2:$E$51,3,FALSE),"")</f>
        <v>kg</v>
      </c>
      <c r="H13" s="1">
        <v>8000</v>
      </c>
      <c r="I13" s="12">
        <v>2.81</v>
      </c>
      <c r="J13" s="12">
        <f t="shared" si="0"/>
        <v>22480</v>
      </c>
      <c r="K13" t="s">
        <v>98</v>
      </c>
    </row>
    <row r="14" spans="1:11" x14ac:dyDescent="0.25">
      <c r="A14" s="11">
        <v>45609</v>
      </c>
      <c r="B14" t="s">
        <v>113</v>
      </c>
      <c r="C14" t="s">
        <v>104</v>
      </c>
      <c r="D14" t="s">
        <v>81</v>
      </c>
      <c r="E14" t="str">
        <f>IFERROR(VLOOKUP(D14,Itens!$A$2:$E$51,2,FALSE),"")</f>
        <v>Óleo mineral emulsionável</v>
      </c>
      <c r="F14" t="str">
        <f>IFERROR(VLOOKUP(D14,Itens!$A$2:$E$51,4,FALSE),"")</f>
        <v>Adjuvante</v>
      </c>
      <c r="G14" t="str">
        <f>IFERROR(VLOOKUP(D14,Itens!$A$2:$E$51,3,FALSE),"")</f>
        <v>L</v>
      </c>
      <c r="H14" s="1">
        <v>80</v>
      </c>
      <c r="I14" s="12">
        <v>21.57</v>
      </c>
      <c r="J14" s="12">
        <f t="shared" si="0"/>
        <v>1725.6</v>
      </c>
      <c r="K14" t="s">
        <v>114</v>
      </c>
    </row>
    <row r="15" spans="1:11" x14ac:dyDescent="0.25">
      <c r="A15" s="11">
        <v>45615</v>
      </c>
      <c r="B15" t="s">
        <v>115</v>
      </c>
      <c r="C15" t="s">
        <v>102</v>
      </c>
      <c r="D15" t="s">
        <v>27</v>
      </c>
      <c r="E15" t="str">
        <f>IFERROR(VLOOKUP(D15,Itens!$A$2:$E$51,2,FALSE),"")</f>
        <v>Abamectina 18 EC</v>
      </c>
      <c r="F15" t="str">
        <f>IFERROR(VLOOKUP(D15,Itens!$A$2:$E$51,4,FALSE),"")</f>
        <v>Nematicida</v>
      </c>
      <c r="G15" t="str">
        <f>IFERROR(VLOOKUP(D15,Itens!$A$2:$E$51,3,FALSE),"")</f>
        <v>L</v>
      </c>
      <c r="H15" s="1">
        <v>300</v>
      </c>
      <c r="I15" s="12">
        <v>206</v>
      </c>
      <c r="J15" s="12">
        <f>IF(OR(H15="",I15=""),"",H15*I15)</f>
        <v>61800</v>
      </c>
      <c r="K15" t="s">
        <v>98</v>
      </c>
    </row>
    <row r="16" spans="1:11" x14ac:dyDescent="0.25">
      <c r="A16" s="11">
        <v>45630</v>
      </c>
      <c r="B16" t="s">
        <v>116</v>
      </c>
      <c r="C16" t="s">
        <v>102</v>
      </c>
      <c r="D16" t="s">
        <v>28</v>
      </c>
      <c r="E16" t="str">
        <f>IFERROR(VLOOKUP(D16,Itens!$A$2:$E$51,2,FALSE),"")</f>
        <v>Bacillus firmus</v>
      </c>
      <c r="F16" t="str">
        <f>IFERROR(VLOOKUP(D16,Itens!$A$2:$E$51,4,FALSE),"")</f>
        <v>Nematicida</v>
      </c>
      <c r="G16" t="str">
        <f>IFERROR(VLOOKUP(D16,Itens!$A$2:$E$51,3,FALSE),"")</f>
        <v>kg</v>
      </c>
      <c r="H16" s="1">
        <v>15</v>
      </c>
      <c r="I16" s="12">
        <v>191.26</v>
      </c>
      <c r="J16" s="12">
        <f t="shared" si="0"/>
        <v>2868.8999999999996</v>
      </c>
      <c r="K16" t="s">
        <v>93</v>
      </c>
    </row>
    <row r="17" spans="1:11" x14ac:dyDescent="0.25">
      <c r="A17" s="11">
        <v>45690</v>
      </c>
      <c r="B17" t="s">
        <v>117</v>
      </c>
      <c r="C17" t="s">
        <v>102</v>
      </c>
      <c r="D17" t="s">
        <v>23</v>
      </c>
      <c r="E17" t="str">
        <f>IFERROR(VLOOKUP(D17,Itens!$A$2:$E$51,2,FALSE),"")</f>
        <v xml:space="preserve"> Fipronil 250 SC</v>
      </c>
      <c r="F17" t="str">
        <f>IFERROR(VLOOKUP(D17,Itens!$A$2:$E$51,4,FALSE),"")</f>
        <v>Inseticida</v>
      </c>
      <c r="G17" t="str">
        <f>IFERROR(VLOOKUP(D17,Itens!$A$2:$E$51,3,FALSE),"")</f>
        <v>L</v>
      </c>
      <c r="H17" s="1">
        <v>200</v>
      </c>
      <c r="I17" s="12">
        <v>210.82</v>
      </c>
      <c r="J17" s="12">
        <f t="shared" si="0"/>
        <v>42164</v>
      </c>
      <c r="K17" t="s">
        <v>93</v>
      </c>
    </row>
    <row r="18" spans="1:11" x14ac:dyDescent="0.25">
      <c r="A18" s="11">
        <v>45726</v>
      </c>
      <c r="B18" t="s">
        <v>118</v>
      </c>
      <c r="C18" t="s">
        <v>104</v>
      </c>
      <c r="D18" t="s">
        <v>77</v>
      </c>
      <c r="E18" t="str">
        <f>IFERROR(VLOOKUP(D18,Itens!$A$2:$E$51,2,FALSE),"")</f>
        <v>Composto orgânico (granulado)</v>
      </c>
      <c r="F18" t="str">
        <f>IFERROR(VLOOKUP(D18,Itens!$A$2:$E$51,4,FALSE),"")</f>
        <v>Organomineral</v>
      </c>
      <c r="G18" t="str">
        <f>IFERROR(VLOOKUP(D18,Itens!$A$2:$E$51,3,FALSE),"")</f>
        <v>kg</v>
      </c>
      <c r="H18" s="1">
        <v>1000</v>
      </c>
      <c r="I18" s="12">
        <v>1.24</v>
      </c>
      <c r="J18" s="12">
        <f t="shared" si="0"/>
        <v>1240</v>
      </c>
      <c r="K18" t="s">
        <v>93</v>
      </c>
    </row>
    <row r="19" spans="1:11" x14ac:dyDescent="0.25">
      <c r="A19" s="11">
        <v>45743</v>
      </c>
      <c r="B19" t="s">
        <v>119</v>
      </c>
      <c r="C19" t="s">
        <v>102</v>
      </c>
      <c r="D19" t="s">
        <v>25</v>
      </c>
      <c r="E19" t="str">
        <f>IFERROR(VLOOKUP(D19,Itens!$A$2:$E$51,2,FALSE),"")</f>
        <v>Fluensulfona 480 EC</v>
      </c>
      <c r="F19" t="str">
        <f>IFERROR(VLOOKUP(D19,Itens!$A$2:$E$51,4,FALSE),"")</f>
        <v>Nematicida</v>
      </c>
      <c r="G19" t="str">
        <f>IFERROR(VLOOKUP(D19,Itens!$A$2:$E$51,3,FALSE),"")</f>
        <v>L</v>
      </c>
      <c r="H19" s="1">
        <v>250</v>
      </c>
      <c r="I19" s="12">
        <v>540.79999999999995</v>
      </c>
      <c r="J19" s="12">
        <f t="shared" si="0"/>
        <v>135200</v>
      </c>
      <c r="K19" t="s">
        <v>93</v>
      </c>
    </row>
    <row r="20" spans="1:11" x14ac:dyDescent="0.25">
      <c r="A20" s="11">
        <v>45744</v>
      </c>
      <c r="B20" t="s">
        <v>120</v>
      </c>
      <c r="C20" t="s">
        <v>92</v>
      </c>
      <c r="D20" t="s">
        <v>13</v>
      </c>
      <c r="E20" t="str">
        <f>IFERROR(VLOOKUP(D20,Itens!$A$2:$E$51,2,FALSE),"")</f>
        <v xml:space="preserve"> Imazapic 700 WG</v>
      </c>
      <c r="F20" t="str">
        <f>IFERROR(VLOOKUP(D20,Itens!$A$2:$E$51,4,FALSE),"")</f>
        <v>Herbicida</v>
      </c>
      <c r="G20" t="str">
        <f>IFERROR(VLOOKUP(D20,Itens!$A$2:$E$51,3,FALSE),"")</f>
        <v>kg</v>
      </c>
      <c r="H20" s="1">
        <v>50</v>
      </c>
      <c r="I20" s="12">
        <v>325.29000000000002</v>
      </c>
      <c r="J20" s="12">
        <f t="shared" si="0"/>
        <v>16264.500000000002</v>
      </c>
      <c r="K20" t="s">
        <v>93</v>
      </c>
    </row>
    <row r="21" spans="1:11" x14ac:dyDescent="0.25">
      <c r="A21" s="11">
        <v>45770</v>
      </c>
      <c r="B21" t="s">
        <v>121</v>
      </c>
      <c r="C21" t="s">
        <v>92</v>
      </c>
      <c r="D21" t="s">
        <v>16</v>
      </c>
      <c r="E21" t="str">
        <f>IFERROR(VLOOKUP(D21,Itens!$A$2:$E$51,2,FALSE),"")</f>
        <v>MSMA (concentrado solúvel)</v>
      </c>
      <c r="F21" t="str">
        <f>IFERROR(VLOOKUP(D21,Itens!$A$2:$E$51,4,FALSE),"")</f>
        <v>Herbicida</v>
      </c>
      <c r="G21" t="str">
        <f>IFERROR(VLOOKUP(D21,Itens!$A$2:$E$51,3,FALSE),"")</f>
        <v>L</v>
      </c>
      <c r="H21" s="1">
        <v>120</v>
      </c>
      <c r="I21" s="12">
        <v>48.42</v>
      </c>
      <c r="J21" s="12">
        <f t="shared" si="0"/>
        <v>5810.4000000000005</v>
      </c>
      <c r="K21" t="s">
        <v>93</v>
      </c>
    </row>
    <row r="22" spans="1:11" x14ac:dyDescent="0.25">
      <c r="A22" s="11">
        <v>45788</v>
      </c>
      <c r="B22" t="s">
        <v>122</v>
      </c>
      <c r="C22" t="s">
        <v>97</v>
      </c>
      <c r="D22" t="s">
        <v>39</v>
      </c>
      <c r="E22" t="str">
        <f>IFERROR(VLOOKUP(D22,Itens!$A$2:$E$51,2,FALSE),"")</f>
        <v>MAP (Monoamônio Fosfato) 11-52-0</v>
      </c>
      <c r="F22" t="str">
        <f>IFERROR(VLOOKUP(D22,Itens!$A$2:$E$51,4,FALSE),"")</f>
        <v>Fosfatado</v>
      </c>
      <c r="G22" t="str">
        <f>IFERROR(VLOOKUP(D22,Itens!$A$2:$E$51,3,FALSE),"")</f>
        <v>kg</v>
      </c>
      <c r="H22" s="1">
        <v>1000</v>
      </c>
      <c r="I22" s="12">
        <v>4.05</v>
      </c>
      <c r="J22" s="12">
        <f t="shared" si="0"/>
        <v>4050</v>
      </c>
      <c r="K22" t="s">
        <v>123</v>
      </c>
    </row>
    <row r="23" spans="1:11" x14ac:dyDescent="0.25">
      <c r="A23" s="11">
        <v>45812</v>
      </c>
      <c r="B23" t="s">
        <v>124</v>
      </c>
      <c r="C23" t="s">
        <v>97</v>
      </c>
      <c r="D23" t="s">
        <v>47</v>
      </c>
      <c r="E23" t="str">
        <f>IFERROR(VLOOKUP(D23,Itens!$A$2:$E$51,2,FALSE),"")</f>
        <v>NPK 08-28-16</v>
      </c>
      <c r="F23" t="str">
        <f>IFERROR(VLOOKUP(D23,Itens!$A$2:$E$51,4,FALSE),"")</f>
        <v>Fertilizante (NPK)</v>
      </c>
      <c r="G23" t="str">
        <f>IFERROR(VLOOKUP(D23,Itens!$A$2:$E$51,3,FALSE),"")</f>
        <v>kg</v>
      </c>
      <c r="H23" s="1">
        <v>5000</v>
      </c>
      <c r="I23" s="12">
        <v>4.07</v>
      </c>
      <c r="J23" s="12">
        <f t="shared" si="0"/>
        <v>20350</v>
      </c>
      <c r="K23" t="s">
        <v>93</v>
      </c>
    </row>
    <row r="24" spans="1:11" x14ac:dyDescent="0.25">
      <c r="A24" s="11">
        <v>45818</v>
      </c>
      <c r="B24" t="s">
        <v>125</v>
      </c>
      <c r="C24" t="s">
        <v>92</v>
      </c>
      <c r="D24" t="s">
        <v>11</v>
      </c>
      <c r="E24" t="str">
        <f>IFERROR(VLOOKUP(D24,Itens!$A$2:$E$51,2,FALSE),"")</f>
        <v>Tebutiuron 500 WG</v>
      </c>
      <c r="F24" t="str">
        <f>IFERROR(VLOOKUP(D24,Itens!$A$2:$E$51,4,FALSE),"")</f>
        <v>Herbicida</v>
      </c>
      <c r="G24" t="str">
        <f>IFERROR(VLOOKUP(D24,Itens!$A$2:$E$51,3,FALSE),"")</f>
        <v>kg</v>
      </c>
      <c r="H24" s="1">
        <v>10</v>
      </c>
      <c r="I24" s="12">
        <v>74.13</v>
      </c>
      <c r="J24" s="12">
        <f t="shared" si="0"/>
        <v>741.3</v>
      </c>
      <c r="K24" t="s">
        <v>114</v>
      </c>
    </row>
    <row r="25" spans="1:11" x14ac:dyDescent="0.25">
      <c r="A25" s="11">
        <v>45836</v>
      </c>
      <c r="B25" t="s">
        <v>126</v>
      </c>
      <c r="C25" t="s">
        <v>127</v>
      </c>
      <c r="D25" t="s">
        <v>54</v>
      </c>
      <c r="E25" t="str">
        <f>IFERROR(VLOOKUP(D25,Itens!$A$2:$E$51,2,FALSE),"")</f>
        <v>Gesso agrícola (sulfato de cálcio)</v>
      </c>
      <c r="F25" t="str">
        <f>IFERROR(VLOOKUP(D25,Itens!$A$2:$E$51,4,FALSE),"")</f>
        <v>Condicionador de solo</v>
      </c>
      <c r="G25" t="str">
        <f>IFERROR(VLOOKUP(D25,Itens!$A$2:$E$51,3,FALSE),"")</f>
        <v>t</v>
      </c>
      <c r="H25" s="1">
        <v>250</v>
      </c>
      <c r="I25" s="12">
        <v>210.85</v>
      </c>
      <c r="J25" s="12">
        <f t="shared" si="0"/>
        <v>52712.5</v>
      </c>
    </row>
    <row r="26" spans="1:11" x14ac:dyDescent="0.25">
      <c r="A26" s="11">
        <v>45844</v>
      </c>
      <c r="B26" t="s">
        <v>128</v>
      </c>
      <c r="C26" t="s">
        <v>102</v>
      </c>
      <c r="D26" t="s">
        <v>15</v>
      </c>
      <c r="E26" t="str">
        <f>IFERROR(VLOOKUP(D26,Itens!$A$2:$E$51,2,FALSE),"")</f>
        <v>Metolacloro 960 EC</v>
      </c>
      <c r="F26" t="str">
        <f>IFERROR(VLOOKUP(D26,Itens!$A$2:$E$51,4,FALSE),"")</f>
        <v>Herbicida</v>
      </c>
      <c r="G26" t="str">
        <f>IFERROR(VLOOKUP(D26,Itens!$A$2:$E$51,3,FALSE),"")</f>
        <v>L</v>
      </c>
      <c r="H26" s="1">
        <v>120</v>
      </c>
      <c r="I26" s="12">
        <v>57.58</v>
      </c>
      <c r="J26" s="12">
        <f t="shared" si="0"/>
        <v>6909.5999999999995</v>
      </c>
      <c r="K26" t="s">
        <v>98</v>
      </c>
    </row>
    <row r="27" spans="1:11" x14ac:dyDescent="0.25">
      <c r="A27" s="11">
        <v>45847</v>
      </c>
      <c r="B27" t="s">
        <v>129</v>
      </c>
      <c r="C27" t="s">
        <v>92</v>
      </c>
      <c r="D27" t="s">
        <v>17</v>
      </c>
      <c r="E27" t="str">
        <f>IFERROR(VLOOKUP(D27,Itens!$A$2:$E$51,2,FALSE),"")</f>
        <v>Inseticida – Imidacloprido 200 SL</v>
      </c>
      <c r="F27" t="str">
        <f>IFERROR(VLOOKUP(D27,Itens!$A$2:$E$51,4,FALSE),"")</f>
        <v>Inseticida</v>
      </c>
      <c r="G27" t="str">
        <f>IFERROR(VLOOKUP(D27,Itens!$A$2:$E$51,3,FALSE),"")</f>
        <v>L</v>
      </c>
      <c r="H27" s="1">
        <v>200</v>
      </c>
      <c r="I27" s="12">
        <v>118.07</v>
      </c>
      <c r="J27" s="12">
        <f t="shared" si="0"/>
        <v>23614</v>
      </c>
    </row>
    <row r="28" spans="1:11" x14ac:dyDescent="0.25">
      <c r="A28" s="11">
        <v>45856</v>
      </c>
      <c r="B28" t="s">
        <v>130</v>
      </c>
      <c r="C28" t="s">
        <v>100</v>
      </c>
      <c r="D28" t="s">
        <v>44</v>
      </c>
      <c r="E28" t="str">
        <f>IFERROR(VLOOKUP(D28,Itens!$A$2:$E$51,2,FALSE),"")</f>
        <v>NPK 20-00-20</v>
      </c>
      <c r="F28" t="str">
        <f>IFERROR(VLOOKUP(D28,Itens!$A$2:$E$51,4,FALSE),"")</f>
        <v>Fertilizante (NPK)</v>
      </c>
      <c r="G28" t="str">
        <f>IFERROR(VLOOKUP(D28,Itens!$A$2:$E$51,3,FALSE),"")</f>
        <v>kg</v>
      </c>
      <c r="H28" s="1">
        <v>20000</v>
      </c>
      <c r="I28" s="12">
        <v>3.39</v>
      </c>
      <c r="J28" s="12">
        <f t="shared" si="0"/>
        <v>67800</v>
      </c>
      <c r="K28" t="s">
        <v>95</v>
      </c>
    </row>
    <row r="29" spans="1:11" x14ac:dyDescent="0.25">
      <c r="A29" s="11">
        <v>45862</v>
      </c>
      <c r="B29" t="s">
        <v>131</v>
      </c>
      <c r="C29" t="s">
        <v>104</v>
      </c>
      <c r="D29" t="s">
        <v>21</v>
      </c>
      <c r="E29" t="str">
        <f>IFERROR(VLOOKUP(D29,Itens!$A$2:$E$51,2,FALSE),"")</f>
        <v xml:space="preserve"> Clorantraniliprole 200 SC</v>
      </c>
      <c r="F29" t="str">
        <f>IFERROR(VLOOKUP(D29,Itens!$A$2:$E$51,4,FALSE),"")</f>
        <v>Inseticida</v>
      </c>
      <c r="G29" t="str">
        <f>IFERROR(VLOOKUP(D29,Itens!$A$2:$E$51,3,FALSE),"")</f>
        <v>L</v>
      </c>
      <c r="H29" s="1">
        <v>400</v>
      </c>
      <c r="I29" s="12">
        <v>623.69000000000005</v>
      </c>
      <c r="J29" s="12">
        <f t="shared" si="0"/>
        <v>249476.00000000003</v>
      </c>
      <c r="K29" t="s">
        <v>114</v>
      </c>
    </row>
    <row r="30" spans="1:11" x14ac:dyDescent="0.25">
      <c r="A30" s="11">
        <v>45868</v>
      </c>
      <c r="B30" t="s">
        <v>132</v>
      </c>
      <c r="C30" t="s">
        <v>104</v>
      </c>
      <c r="D30" t="s">
        <v>29</v>
      </c>
      <c r="E30" t="str">
        <f>IFERROR(VLOOKUP(D30,Itens!$A$2:$E$51,2,FALSE),"")</f>
        <v>Purpureocillium lilacinum</v>
      </c>
      <c r="F30" t="str">
        <f>IFERROR(VLOOKUP(D30,Itens!$A$2:$E$51,4,FALSE),"")</f>
        <v>Nematicida</v>
      </c>
      <c r="G30" t="str">
        <f>IFERROR(VLOOKUP(D30,Itens!$A$2:$E$51,3,FALSE),"")</f>
        <v>kg</v>
      </c>
      <c r="H30" s="1">
        <v>50</v>
      </c>
      <c r="I30" s="12">
        <v>203.05</v>
      </c>
      <c r="J30" s="12">
        <f t="shared" si="0"/>
        <v>10152.5</v>
      </c>
      <c r="K30" t="s">
        <v>123</v>
      </c>
    </row>
    <row r="31" spans="1:11" x14ac:dyDescent="0.25">
      <c r="A31" s="11">
        <v>45907</v>
      </c>
      <c r="B31" t="s">
        <v>133</v>
      </c>
      <c r="C31" t="s">
        <v>97</v>
      </c>
      <c r="D31" t="s">
        <v>44</v>
      </c>
      <c r="E31" t="str">
        <f>IFERROR(VLOOKUP(D31,Itens!$A$2:$E$51,2,FALSE),"")</f>
        <v>NPK 20-00-20</v>
      </c>
      <c r="F31" t="str">
        <f>IFERROR(VLOOKUP(D31,Itens!$A$2:$E$51,4,FALSE),"")</f>
        <v>Fertilizante (NPK)</v>
      </c>
      <c r="G31" t="str">
        <f>IFERROR(VLOOKUP(D31,Itens!$A$2:$E$51,3,FALSE),"")</f>
        <v>kg</v>
      </c>
      <c r="H31" s="1">
        <v>5000</v>
      </c>
      <c r="I31" s="12">
        <v>3.77</v>
      </c>
      <c r="J31" s="12">
        <f t="shared" si="0"/>
        <v>18850</v>
      </c>
      <c r="K31" t="s">
        <v>93</v>
      </c>
    </row>
    <row r="32" spans="1:11" x14ac:dyDescent="0.25">
      <c r="A32" s="11">
        <v>45922</v>
      </c>
      <c r="B32" t="s">
        <v>134</v>
      </c>
      <c r="C32" t="s">
        <v>102</v>
      </c>
      <c r="D32" t="s">
        <v>83</v>
      </c>
      <c r="E32" t="str">
        <f>IFERROR(VLOOKUP(D32,Itens!$A$2:$E$51,2,FALSE),"")</f>
        <v>Espalhante adesivo não iônico</v>
      </c>
      <c r="F32" t="str">
        <f>IFERROR(VLOOKUP(D32,Itens!$A$2:$E$51,4,FALSE),"")</f>
        <v>Adjuvante</v>
      </c>
      <c r="G32" t="str">
        <f>IFERROR(VLOOKUP(D32,Itens!$A$2:$E$51,3,FALSE),"")</f>
        <v>L</v>
      </c>
      <c r="H32" s="1">
        <v>150</v>
      </c>
      <c r="I32" s="12">
        <v>36.049999999999997</v>
      </c>
      <c r="J32" s="12">
        <f t="shared" si="0"/>
        <v>5407.5</v>
      </c>
    </row>
    <row r="33" spans="1:11" x14ac:dyDescent="0.25">
      <c r="A33" s="11">
        <v>45943</v>
      </c>
      <c r="B33" t="s">
        <v>135</v>
      </c>
      <c r="C33" t="s">
        <v>92</v>
      </c>
      <c r="D33" t="s">
        <v>24</v>
      </c>
      <c r="E33" t="str">
        <f>IFERROR(VLOOKUP(D33,Itens!$A$2:$E$51,2,FALSE),"")</f>
        <v>Bacillus thuringiensis (Bt)</v>
      </c>
      <c r="F33" t="str">
        <f>IFERROR(VLOOKUP(D33,Itens!$A$2:$E$51,4,FALSE),"")</f>
        <v>Inseticida</v>
      </c>
      <c r="G33" t="str">
        <f>IFERROR(VLOOKUP(D33,Itens!$A$2:$E$51,3,FALSE),"")</f>
        <v>kg</v>
      </c>
      <c r="H33" s="1">
        <v>25</v>
      </c>
      <c r="I33" s="12">
        <v>170.12</v>
      </c>
      <c r="J33" s="12">
        <f t="shared" si="0"/>
        <v>4253</v>
      </c>
    </row>
    <row r="34" spans="1:11" x14ac:dyDescent="0.25">
      <c r="A34" s="11">
        <v>45947</v>
      </c>
      <c r="B34" t="s">
        <v>136</v>
      </c>
      <c r="C34" t="s">
        <v>100</v>
      </c>
      <c r="D34" t="s">
        <v>62</v>
      </c>
      <c r="E34" t="str">
        <f>IFERROR(VLOOKUP(D34,Itens!$A$2:$E$51,2,FALSE),"")</f>
        <v>Fonte de Cálcio – Nitrato de cálcio</v>
      </c>
      <c r="F34" t="str">
        <f>IFERROR(VLOOKUP(D34,Itens!$A$2:$E$51,4,FALSE),"")</f>
        <v>Cálcio</v>
      </c>
      <c r="G34" t="str">
        <f>IFERROR(VLOOKUP(D34,Itens!$A$2:$E$51,3,FALSE),"")</f>
        <v>kg</v>
      </c>
      <c r="H34" s="1">
        <v>10</v>
      </c>
      <c r="I34" s="12">
        <v>5.5</v>
      </c>
      <c r="J34" s="12">
        <f t="shared" ref="J34:J48" si="1">IF(OR(H34="",I34=""),"",H34*I34)</f>
        <v>55</v>
      </c>
      <c r="K34" t="s">
        <v>123</v>
      </c>
    </row>
    <row r="35" spans="1:11" x14ac:dyDescent="0.25">
      <c r="A35" s="11">
        <v>45958</v>
      </c>
      <c r="B35" t="s">
        <v>137</v>
      </c>
      <c r="C35" t="s">
        <v>110</v>
      </c>
      <c r="D35" t="s">
        <v>52</v>
      </c>
      <c r="E35" t="str">
        <f>IFERROR(VLOOKUP(D35,Itens!$A$2:$E$51,2,FALSE),"")</f>
        <v>Calcário calcítico (PRNT alto)</v>
      </c>
      <c r="F35" t="str">
        <f>IFERROR(VLOOKUP(D35,Itens!$A$2:$E$51,4,FALSE),"")</f>
        <v>Corretivo (Calcário)</v>
      </c>
      <c r="G35" t="str">
        <f>IFERROR(VLOOKUP(D35,Itens!$A$2:$E$51,3,FALSE),"")</f>
        <v>t</v>
      </c>
      <c r="H35" s="1">
        <v>300</v>
      </c>
      <c r="I35" s="12">
        <v>170.46</v>
      </c>
      <c r="J35" s="12">
        <f t="shared" si="1"/>
        <v>51138</v>
      </c>
      <c r="K35" t="s">
        <v>95</v>
      </c>
    </row>
    <row r="36" spans="1:11" x14ac:dyDescent="0.25">
      <c r="A36" s="11">
        <v>45971</v>
      </c>
      <c r="B36" t="s">
        <v>138</v>
      </c>
      <c r="C36" t="s">
        <v>92</v>
      </c>
      <c r="D36" t="s">
        <v>69</v>
      </c>
      <c r="E36" t="str">
        <f>IFERROR(VLOOKUP(D36,Itens!$A$2:$E$51,2,FALSE),"")</f>
        <v>Zinco (Zn) granulado</v>
      </c>
      <c r="F36" t="str">
        <f>IFERROR(VLOOKUP(D36,Itens!$A$2:$E$51,4,FALSE),"")</f>
        <v>Micronutriente</v>
      </c>
      <c r="G36" t="str">
        <f>IFERROR(VLOOKUP(D36,Itens!$A$2:$E$51,3,FALSE),"")</f>
        <v>kg</v>
      </c>
      <c r="H36" s="1">
        <v>80</v>
      </c>
      <c r="I36" s="12">
        <v>15.06</v>
      </c>
      <c r="J36" s="12">
        <f t="shared" si="1"/>
        <v>1204.8</v>
      </c>
      <c r="K36" t="s">
        <v>98</v>
      </c>
    </row>
    <row r="37" spans="1:11" x14ac:dyDescent="0.25">
      <c r="A37" s="11">
        <v>45972</v>
      </c>
      <c r="B37" t="s">
        <v>139</v>
      </c>
      <c r="C37" t="s">
        <v>100</v>
      </c>
      <c r="D37" t="s">
        <v>71</v>
      </c>
      <c r="E37" t="str">
        <f>IFERROR(VLOOKUP(D37,Itens!$A$2:$E$51,2,FALSE),"")</f>
        <v>Cobre (Cu)</v>
      </c>
      <c r="F37" t="str">
        <f>IFERROR(VLOOKUP(D37,Itens!$A$2:$E$51,4,FALSE),"")</f>
        <v>Micronutriente</v>
      </c>
      <c r="G37" t="str">
        <f>IFERROR(VLOOKUP(D37,Itens!$A$2:$E$51,3,FALSE),"")</f>
        <v>kg</v>
      </c>
      <c r="H37" s="1">
        <v>80</v>
      </c>
      <c r="I37" s="12">
        <v>24.34</v>
      </c>
      <c r="J37" s="12">
        <f t="shared" si="1"/>
        <v>1947.2</v>
      </c>
      <c r="K37" t="s">
        <v>98</v>
      </c>
    </row>
    <row r="38" spans="1:11" x14ac:dyDescent="0.25">
      <c r="A38" s="11">
        <v>45986</v>
      </c>
      <c r="B38" t="s">
        <v>140</v>
      </c>
      <c r="C38" t="s">
        <v>97</v>
      </c>
      <c r="D38" t="s">
        <v>35</v>
      </c>
      <c r="E38" t="str">
        <f>IFERROR(VLOOKUP(D38,Itens!$A$2:$E$51,2,FALSE),"")</f>
        <v>Cloreto de potássio (KCl) 60% K2O</v>
      </c>
      <c r="F38" t="str">
        <f>IFERROR(VLOOKUP(D38,Itens!$A$2:$E$51,4,FALSE),"")</f>
        <v>Fertilizante (K)</v>
      </c>
      <c r="G38" t="str">
        <f>IFERROR(VLOOKUP(D38,Itens!$A$2:$E$51,3,FALSE),"")</f>
        <v>kg</v>
      </c>
      <c r="H38" s="1">
        <v>2000</v>
      </c>
      <c r="I38" s="12">
        <v>3.23</v>
      </c>
      <c r="J38" s="12">
        <f t="shared" si="1"/>
        <v>6460</v>
      </c>
      <c r="K38" t="s">
        <v>114</v>
      </c>
    </row>
    <row r="39" spans="1:11" x14ac:dyDescent="0.25">
      <c r="A39" s="11">
        <v>45988</v>
      </c>
      <c r="B39" t="s">
        <v>141</v>
      </c>
      <c r="C39" t="s">
        <v>107</v>
      </c>
      <c r="D39" t="s">
        <v>74</v>
      </c>
      <c r="E39" t="str">
        <f>IFERROR(VLOOKUP(D39,Itens!$A$2:$E$51,2,FALSE),"")</f>
        <v>Azospirillum brasilense (líquido)</v>
      </c>
      <c r="F39" t="str">
        <f>IFERROR(VLOOKUP(D39,Itens!$A$2:$E$51,4,FALSE),"")</f>
        <v>Inoculante</v>
      </c>
      <c r="G39" t="str">
        <f>IFERROR(VLOOKUP(D39,Itens!$A$2:$E$51,3,FALSE),"")</f>
        <v>L</v>
      </c>
      <c r="H39" s="1">
        <v>50</v>
      </c>
      <c r="I39" s="12">
        <v>49.18</v>
      </c>
      <c r="J39" s="12">
        <f t="shared" si="1"/>
        <v>2459</v>
      </c>
      <c r="K39" t="s">
        <v>98</v>
      </c>
    </row>
    <row r="40" spans="1:11" x14ac:dyDescent="0.25">
      <c r="A40" s="11">
        <v>45991</v>
      </c>
      <c r="B40" t="s">
        <v>142</v>
      </c>
      <c r="C40" t="s">
        <v>102</v>
      </c>
      <c r="D40" t="s">
        <v>8</v>
      </c>
      <c r="E40" t="str">
        <f>IFERROR(VLOOKUP(D40,Itens!$A$2:$E$51,2,FALSE),"")</f>
        <v>Atrazina 500 SC</v>
      </c>
      <c r="F40" t="str">
        <f>IFERROR(VLOOKUP(D40,Itens!$A$2:$E$51,4,FALSE),"")</f>
        <v>Herbicida</v>
      </c>
      <c r="G40" t="str">
        <f>IFERROR(VLOOKUP(D40,Itens!$A$2:$E$51,3,FALSE),"")</f>
        <v>L</v>
      </c>
      <c r="H40" s="1">
        <v>50</v>
      </c>
      <c r="I40" s="12">
        <v>24.5</v>
      </c>
      <c r="J40" s="12">
        <f t="shared" si="1"/>
        <v>1225</v>
      </c>
    </row>
    <row r="41" spans="1:11" x14ac:dyDescent="0.25">
      <c r="A41" s="11">
        <v>45993</v>
      </c>
      <c r="B41" t="s">
        <v>143</v>
      </c>
      <c r="C41" t="s">
        <v>104</v>
      </c>
      <c r="D41" t="s">
        <v>35</v>
      </c>
      <c r="E41" t="str">
        <f>IFERROR(VLOOKUP(D41,Itens!$A$2:$E$51,2,FALSE),"")</f>
        <v>Cloreto de potássio (KCl) 60% K2O</v>
      </c>
      <c r="F41" t="str">
        <f>IFERROR(VLOOKUP(D41,Itens!$A$2:$E$51,4,FALSE),"")</f>
        <v>Fertilizante (K)</v>
      </c>
      <c r="G41" t="str">
        <f>IFERROR(VLOOKUP(D41,Itens!$A$2:$E$51,3,FALSE),"")</f>
        <v>kg</v>
      </c>
      <c r="H41" s="1">
        <v>5000</v>
      </c>
      <c r="I41" s="12">
        <v>2.84</v>
      </c>
      <c r="J41" s="12">
        <f t="shared" si="1"/>
        <v>14200</v>
      </c>
      <c r="K41" t="s">
        <v>95</v>
      </c>
    </row>
    <row r="42" spans="1:11" x14ac:dyDescent="0.25">
      <c r="A42" s="11">
        <v>46009</v>
      </c>
      <c r="B42" t="s">
        <v>144</v>
      </c>
      <c r="C42" t="s">
        <v>100</v>
      </c>
      <c r="D42" t="s">
        <v>77</v>
      </c>
      <c r="E42" t="str">
        <f>IFERROR(VLOOKUP(D42,Itens!$A$2:$E$51,2,FALSE),"")</f>
        <v>Composto orgânico (granulado)</v>
      </c>
      <c r="F42" t="str">
        <f>IFERROR(VLOOKUP(D42,Itens!$A$2:$E$51,4,FALSE),"")</f>
        <v>Organomineral</v>
      </c>
      <c r="G42" t="str">
        <f>IFERROR(VLOOKUP(D42,Itens!$A$2:$E$51,3,FALSE),"")</f>
        <v>kg</v>
      </c>
      <c r="H42" s="1">
        <v>8000</v>
      </c>
      <c r="I42" s="12">
        <v>1.1499999999999999</v>
      </c>
      <c r="J42" s="12">
        <f t="shared" si="1"/>
        <v>9200</v>
      </c>
    </row>
    <row r="43" spans="1:11" x14ac:dyDescent="0.25">
      <c r="A43" s="11">
        <v>46017</v>
      </c>
      <c r="B43" t="s">
        <v>145</v>
      </c>
      <c r="C43" t="s">
        <v>97</v>
      </c>
      <c r="D43" t="s">
        <v>37</v>
      </c>
      <c r="E43" t="str">
        <f>IFERROR(VLOOKUP(D43,Itens!$A$2:$E$51,2,FALSE),"")</f>
        <v>Sulfato de potássio 50% K2O</v>
      </c>
      <c r="F43" t="str">
        <f>IFERROR(VLOOKUP(D43,Itens!$A$2:$E$51,4,FALSE),"")</f>
        <v>Fertilizante (K/S)</v>
      </c>
      <c r="G43" t="str">
        <f>IFERROR(VLOOKUP(D43,Itens!$A$2:$E$51,3,FALSE),"")</f>
        <v>kg</v>
      </c>
      <c r="H43" s="1">
        <v>12000</v>
      </c>
      <c r="I43" s="12">
        <v>4.84</v>
      </c>
      <c r="J43" s="12">
        <f t="shared" si="1"/>
        <v>58080</v>
      </c>
      <c r="K43" t="s">
        <v>98</v>
      </c>
    </row>
    <row r="44" spans="1:11" x14ac:dyDescent="0.25">
      <c r="A44" s="11">
        <v>46023</v>
      </c>
      <c r="B44" t="s">
        <v>146</v>
      </c>
      <c r="C44" t="s">
        <v>100</v>
      </c>
      <c r="D44" t="s">
        <v>32</v>
      </c>
      <c r="E44" t="str">
        <f>IFERROR(VLOOKUP(D44,Itens!$A$2:$E$51,2,FALSE),"")</f>
        <v>Sulfato de amônio 21% N + 24% S</v>
      </c>
      <c r="F44" t="str">
        <f>IFERROR(VLOOKUP(D44,Itens!$A$2:$E$51,4,FALSE),"")</f>
        <v>Fertilizante (N/S)</v>
      </c>
      <c r="G44" t="str">
        <f>IFERROR(VLOOKUP(D44,Itens!$A$2:$E$51,3,FALSE),"")</f>
        <v>kg</v>
      </c>
      <c r="H44" s="1">
        <v>12000</v>
      </c>
      <c r="I44" s="12">
        <v>1.69</v>
      </c>
      <c r="J44" s="12">
        <f t="shared" si="1"/>
        <v>20280</v>
      </c>
      <c r="K44" t="s">
        <v>93</v>
      </c>
    </row>
    <row r="45" spans="1:11" x14ac:dyDescent="0.25">
      <c r="A45" s="11">
        <v>46027</v>
      </c>
      <c r="B45" t="s">
        <v>147</v>
      </c>
      <c r="C45" t="s">
        <v>100</v>
      </c>
      <c r="D45" t="s">
        <v>67</v>
      </c>
      <c r="E45" t="str">
        <f>IFERROR(VLOOKUP(D45,Itens!$A$2:$E$51,2,FALSE),"")</f>
        <v>Boro (B) granulado</v>
      </c>
      <c r="F45" t="str">
        <f>IFERROR(VLOOKUP(D45,Itens!$A$2:$E$51,4,FALSE),"")</f>
        <v>Micronutriente</v>
      </c>
      <c r="G45" t="str">
        <f>IFERROR(VLOOKUP(D45,Itens!$A$2:$E$51,3,FALSE),"")</f>
        <v>kg</v>
      </c>
      <c r="H45" s="1">
        <v>50</v>
      </c>
      <c r="I45" s="12">
        <v>13.04</v>
      </c>
      <c r="J45" s="12">
        <f t="shared" si="1"/>
        <v>652</v>
      </c>
      <c r="K45" t="s">
        <v>95</v>
      </c>
    </row>
    <row r="46" spans="1:11" x14ac:dyDescent="0.25">
      <c r="A46" s="11">
        <v>46029</v>
      </c>
      <c r="B46" t="s">
        <v>148</v>
      </c>
      <c r="C46" t="s">
        <v>100</v>
      </c>
      <c r="D46" t="s">
        <v>72</v>
      </c>
      <c r="E46" t="str">
        <f>IFERROR(VLOOKUP(D46,Itens!$A$2:$E$51,2,FALSE),"")</f>
        <v>Mistura de micronutrientes (B+Zn+Mn+Cu)</v>
      </c>
      <c r="F46" t="str">
        <f>IFERROR(VLOOKUP(D46,Itens!$A$2:$E$51,4,FALSE),"")</f>
        <v>Micronutriente</v>
      </c>
      <c r="G46" t="str">
        <f>IFERROR(VLOOKUP(D46,Itens!$A$2:$E$51,3,FALSE),"")</f>
        <v>kg</v>
      </c>
      <c r="H46" s="1">
        <v>250</v>
      </c>
      <c r="I46" s="12">
        <v>17.579999999999998</v>
      </c>
      <c r="J46" s="12">
        <f t="shared" si="1"/>
        <v>4395</v>
      </c>
      <c r="K46" t="s">
        <v>98</v>
      </c>
    </row>
    <row r="47" spans="1:11" x14ac:dyDescent="0.25">
      <c r="A47" s="11">
        <v>46032</v>
      </c>
      <c r="B47" t="s">
        <v>149</v>
      </c>
      <c r="C47" t="s">
        <v>92</v>
      </c>
      <c r="D47" t="s">
        <v>7</v>
      </c>
      <c r="E47" t="str">
        <f>IFERROR(VLOOKUP(D47,Itens!$A$2:$E$51,2,FALSE),"")</f>
        <v>2,4-D (sal amina)</v>
      </c>
      <c r="F47" t="str">
        <f>IFERROR(VLOOKUP(D47,Itens!$A$2:$E$51,4,FALSE),"")</f>
        <v>Herbicida</v>
      </c>
      <c r="G47" t="str">
        <f>IFERROR(VLOOKUP(D47,Itens!$A$2:$E$51,3,FALSE),"")</f>
        <v>L</v>
      </c>
      <c r="H47" s="1">
        <v>250</v>
      </c>
      <c r="I47" s="12">
        <v>16.66</v>
      </c>
      <c r="J47" s="12">
        <f t="shared" si="1"/>
        <v>4165</v>
      </c>
      <c r="K47" t="s">
        <v>98</v>
      </c>
    </row>
    <row r="48" spans="1:11" x14ac:dyDescent="0.25">
      <c r="A48" s="11">
        <v>46032</v>
      </c>
      <c r="B48" t="s">
        <v>150</v>
      </c>
      <c r="C48" t="s">
        <v>104</v>
      </c>
      <c r="D48" t="s">
        <v>9</v>
      </c>
      <c r="E48" t="str">
        <f>IFERROR(VLOOKUP(D48,Itens!$A$2:$E$51,2,FALSE),"")</f>
        <v>Hexazinona 250 SC</v>
      </c>
      <c r="F48" t="str">
        <f>IFERROR(VLOOKUP(D48,Itens!$A$2:$E$51,4,FALSE),"")</f>
        <v>Herbicida</v>
      </c>
      <c r="G48" t="str">
        <f>IFERROR(VLOOKUP(D48,Itens!$A$2:$E$51,3,FALSE),"")</f>
        <v>L</v>
      </c>
      <c r="H48" s="1">
        <v>120</v>
      </c>
      <c r="I48" s="12">
        <v>110.09</v>
      </c>
      <c r="J48" s="12">
        <f t="shared" si="1"/>
        <v>13210.800000000001</v>
      </c>
      <c r="K48" t="s">
        <v>114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Itens!$A$2:$A$51</xm:f>
          </x14:formula1>
          <xm:sqref>D2:D48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1"/>
  <sheetViews>
    <sheetView showGridLines="0"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12" style="9" customWidth="1"/>
    <col min="2" max="2" width="14" customWidth="1"/>
    <col min="3" max="3" width="32.42578125" bestFit="1" customWidth="1"/>
    <col min="4" max="4" width="14" customWidth="1"/>
    <col min="5" max="5" width="40" customWidth="1"/>
    <col min="6" max="6" width="18" customWidth="1"/>
    <col min="7" max="7" width="10.5703125" customWidth="1"/>
    <col min="8" max="8" width="13.5703125" customWidth="1"/>
    <col min="9" max="9" width="20.28515625" style="15" bestFit="1" customWidth="1"/>
    <col min="10" max="10" width="17" bestFit="1" customWidth="1"/>
    <col min="11" max="11" width="29.5703125" customWidth="1"/>
    <col min="12" max="12" width="28" customWidth="1"/>
  </cols>
  <sheetData>
    <row r="1" spans="1:12" ht="20.100000000000001" customHeight="1" x14ac:dyDescent="0.25">
      <c r="A1" s="13" t="s">
        <v>84</v>
      </c>
      <c r="B1" s="8" t="s">
        <v>85</v>
      </c>
      <c r="C1" s="8" t="s">
        <v>151</v>
      </c>
      <c r="D1" s="8" t="s">
        <v>320</v>
      </c>
      <c r="E1" s="8" t="s">
        <v>0</v>
      </c>
      <c r="F1" s="8" t="s">
        <v>2</v>
      </c>
      <c r="G1" s="8" t="s">
        <v>1</v>
      </c>
      <c r="H1" s="8" t="s">
        <v>87</v>
      </c>
      <c r="I1" s="14" t="s">
        <v>88</v>
      </c>
      <c r="J1" s="8" t="s">
        <v>89</v>
      </c>
      <c r="K1" s="8" t="s">
        <v>152</v>
      </c>
      <c r="L1" s="8" t="s">
        <v>90</v>
      </c>
    </row>
    <row r="2" spans="1:12" x14ac:dyDescent="0.25">
      <c r="A2" s="9">
        <v>45474</v>
      </c>
      <c r="B2" t="s">
        <v>153</v>
      </c>
      <c r="C2" t="s">
        <v>154</v>
      </c>
      <c r="D2" t="s">
        <v>25</v>
      </c>
      <c r="E2" t="str">
        <f>IFERROR(VLOOKUP(D2,Itens!$A$2:$E$51,2,FALSE),"")</f>
        <v>Fluensulfona 480 EC</v>
      </c>
      <c r="F2" t="str">
        <f>IFERROR(VLOOKUP(D2,Itens!$A$2:$E$51,4,FALSE),"")</f>
        <v>Nematicida</v>
      </c>
      <c r="G2" t="str">
        <f>IFERROR(VLOOKUP(D2,Itens!$A$2:$E$51,3,FALSE),"")</f>
        <v>L</v>
      </c>
      <c r="H2">
        <v>42.05</v>
      </c>
      <c r="I2" s="15">
        <f>VLOOKUP(Tabela3[[#This Row],[COD_ID]],Itens!A:E,5,0)</f>
        <v>500</v>
      </c>
      <c r="J2" s="15">
        <f>Tabela3[[#This Row],[Preço Unitário (R$)]]*Tabela3[[#This Row],[Quantidade]]</f>
        <v>21025</v>
      </c>
      <c r="K2" t="s">
        <v>155</v>
      </c>
    </row>
    <row r="3" spans="1:12" x14ac:dyDescent="0.25">
      <c r="A3" s="9">
        <v>45483</v>
      </c>
      <c r="B3" t="s">
        <v>156</v>
      </c>
      <c r="C3" t="s">
        <v>157</v>
      </c>
      <c r="D3" t="s">
        <v>8</v>
      </c>
      <c r="E3" t="str">
        <f>IFERROR(VLOOKUP(D3,Itens!$A$2:$E$51,2,FALSE),"")</f>
        <v>Atrazina 500 SC</v>
      </c>
      <c r="F3" t="str">
        <f>IFERROR(VLOOKUP(D3,Itens!$A$2:$E$51,4,FALSE),"")</f>
        <v>Herbicida</v>
      </c>
      <c r="G3" t="str">
        <f>IFERROR(VLOOKUP(D3,Itens!$A$2:$E$51,3,FALSE),"")</f>
        <v>L</v>
      </c>
      <c r="H3">
        <v>12.14</v>
      </c>
      <c r="I3" s="15">
        <f>VLOOKUP(Tabela3[[#This Row],[COD_ID]],Itens!A:E,5,0)</f>
        <v>24</v>
      </c>
      <c r="J3" s="15">
        <f>Tabela3[[#This Row],[Preço Unitário (R$)]]*Tabela3[[#This Row],[Quantidade]]</f>
        <v>291.36</v>
      </c>
      <c r="K3" t="s">
        <v>158</v>
      </c>
      <c r="L3" t="s">
        <v>159</v>
      </c>
    </row>
    <row r="4" spans="1:12" x14ac:dyDescent="0.25">
      <c r="A4" s="9">
        <v>45486</v>
      </c>
      <c r="B4" t="s">
        <v>160</v>
      </c>
      <c r="C4" t="s">
        <v>161</v>
      </c>
      <c r="D4" t="s">
        <v>72</v>
      </c>
      <c r="E4" t="str">
        <f>IFERROR(VLOOKUP(D4,Itens!$A$2:$E$51,2,FALSE),"")</f>
        <v>Mistura de micronutrientes (B+Zn+Mn+Cu)</v>
      </c>
      <c r="F4" t="str">
        <f>IFERROR(VLOOKUP(D4,Itens!$A$2:$E$51,4,FALSE),"")</f>
        <v>Micronutriente</v>
      </c>
      <c r="G4" t="str">
        <f>IFERROR(VLOOKUP(D4,Itens!$A$2:$E$51,3,FALSE),"")</f>
        <v>kg</v>
      </c>
      <c r="H4">
        <v>72.819999999999993</v>
      </c>
      <c r="I4" s="15">
        <f>VLOOKUP(Tabela3[[#This Row],[COD_ID]],Itens!A:E,5,0)</f>
        <v>18</v>
      </c>
      <c r="J4" s="15">
        <f>Tabela3[[#This Row],[Preço Unitário (R$)]]*Tabela3[[#This Row],[Quantidade]]</f>
        <v>1310.7599999999998</v>
      </c>
      <c r="K4" t="s">
        <v>155</v>
      </c>
      <c r="L4" t="s">
        <v>162</v>
      </c>
    </row>
    <row r="5" spans="1:12" x14ac:dyDescent="0.25">
      <c r="A5" s="9">
        <v>45500</v>
      </c>
      <c r="B5" t="s">
        <v>163</v>
      </c>
      <c r="C5" t="s">
        <v>154</v>
      </c>
      <c r="D5" t="s">
        <v>70</v>
      </c>
      <c r="E5" t="str">
        <f>IFERROR(VLOOKUP(D5,Itens!$A$2:$E$51,2,FALSE),"")</f>
        <v>Manganês (Mn)</v>
      </c>
      <c r="F5" t="str">
        <f>IFERROR(VLOOKUP(D5,Itens!$A$2:$E$51,4,FALSE),"")</f>
        <v>Micronutriente</v>
      </c>
      <c r="G5" t="str">
        <f>IFERROR(VLOOKUP(D5,Itens!$A$2:$E$51,3,FALSE),"")</f>
        <v>kg</v>
      </c>
      <c r="H5">
        <v>8.4499999999999993</v>
      </c>
      <c r="I5" s="15">
        <f>VLOOKUP(Tabela3[[#This Row],[COD_ID]],Itens!A:E,5,0)</f>
        <v>10</v>
      </c>
      <c r="J5" s="15">
        <f>Tabela3[[#This Row],[Preço Unitário (R$)]]*Tabela3[[#This Row],[Quantidade]]</f>
        <v>84.5</v>
      </c>
      <c r="K5" t="s">
        <v>155</v>
      </c>
      <c r="L5" t="s">
        <v>164</v>
      </c>
    </row>
    <row r="6" spans="1:12" x14ac:dyDescent="0.25">
      <c r="A6" s="9">
        <v>45501</v>
      </c>
      <c r="B6" t="s">
        <v>165</v>
      </c>
      <c r="C6" t="s">
        <v>161</v>
      </c>
      <c r="D6" t="s">
        <v>57</v>
      </c>
      <c r="E6" t="str">
        <f>IFERROR(VLOOKUP(D6,Itens!$A$2:$E$51,2,FALSE),"")</f>
        <v>Cal virgem agrícola</v>
      </c>
      <c r="F6" t="str">
        <f>IFERROR(VLOOKUP(D6,Itens!$A$2:$E$51,4,FALSE),"")</f>
        <v>Corretivo (Calagem)</v>
      </c>
      <c r="G6" t="str">
        <f>IFERROR(VLOOKUP(D6,Itens!$A$2:$E$51,3,FALSE),"")</f>
        <v>kg</v>
      </c>
      <c r="H6">
        <v>330</v>
      </c>
      <c r="I6" s="15">
        <f>VLOOKUP(Tabela3[[#This Row],[COD_ID]],Itens!A:E,5,0)</f>
        <v>1.2</v>
      </c>
      <c r="J6" s="15">
        <f>Tabela3[[#This Row],[Preço Unitário (R$)]]*Tabela3[[#This Row],[Quantidade]]</f>
        <v>396</v>
      </c>
      <c r="K6" t="s">
        <v>166</v>
      </c>
    </row>
    <row r="7" spans="1:12" x14ac:dyDescent="0.25">
      <c r="A7" s="9">
        <v>45515</v>
      </c>
      <c r="B7" t="s">
        <v>167</v>
      </c>
      <c r="C7" t="s">
        <v>168</v>
      </c>
      <c r="D7" t="s">
        <v>69</v>
      </c>
      <c r="E7" t="str">
        <f>IFERROR(VLOOKUP(D7,Itens!$A$2:$E$51,2,FALSE),"")</f>
        <v>Zinco (Zn) granulado</v>
      </c>
      <c r="F7" t="str">
        <f>IFERROR(VLOOKUP(D7,Itens!$A$2:$E$51,4,FALSE),"")</f>
        <v>Micronutriente</v>
      </c>
      <c r="G7" t="str">
        <f>IFERROR(VLOOKUP(D7,Itens!$A$2:$E$51,3,FALSE),"")</f>
        <v>kg</v>
      </c>
      <c r="H7">
        <v>31.69</v>
      </c>
      <c r="I7" s="15">
        <f>VLOOKUP(Tabela3[[#This Row],[COD_ID]],Itens!A:E,5,0)</f>
        <v>14</v>
      </c>
      <c r="J7" s="15">
        <f>Tabela3[[#This Row],[Preço Unitário (R$)]]*Tabela3[[#This Row],[Quantidade]]</f>
        <v>443.66</v>
      </c>
      <c r="K7" t="s">
        <v>169</v>
      </c>
      <c r="L7" t="s">
        <v>162</v>
      </c>
    </row>
    <row r="8" spans="1:12" x14ac:dyDescent="0.25">
      <c r="A8" s="9">
        <v>45553</v>
      </c>
      <c r="B8" t="s">
        <v>170</v>
      </c>
      <c r="C8" t="s">
        <v>154</v>
      </c>
      <c r="D8" t="s">
        <v>39</v>
      </c>
      <c r="E8" t="str">
        <f>IFERROR(VLOOKUP(D8,Itens!$A$2:$E$51,2,FALSE),"")</f>
        <v>MAP (Monoamônio Fosfato) 11-52-0</v>
      </c>
      <c r="F8" t="str">
        <f>IFERROR(VLOOKUP(D8,Itens!$A$2:$E$51,4,FALSE),"")</f>
        <v>Fosfatado</v>
      </c>
      <c r="G8" t="str">
        <f>IFERROR(VLOOKUP(D8,Itens!$A$2:$E$51,3,FALSE),"")</f>
        <v>kg</v>
      </c>
      <c r="H8">
        <v>430</v>
      </c>
      <c r="I8" s="15">
        <f>VLOOKUP(Tabela3[[#This Row],[COD_ID]],Itens!A:E,5,0)</f>
        <v>4.2</v>
      </c>
      <c r="J8" s="15">
        <f>Tabela3[[#This Row],[Preço Unitário (R$)]]*Tabela3[[#This Row],[Quantidade]]</f>
        <v>1806</v>
      </c>
      <c r="K8" t="s">
        <v>169</v>
      </c>
      <c r="L8" t="s">
        <v>171</v>
      </c>
    </row>
    <row r="9" spans="1:12" x14ac:dyDescent="0.25">
      <c r="A9" s="9">
        <v>45561</v>
      </c>
      <c r="B9" t="s">
        <v>172</v>
      </c>
      <c r="C9" t="s">
        <v>173</v>
      </c>
      <c r="D9" t="s">
        <v>79</v>
      </c>
      <c r="E9" t="str">
        <f>IFERROR(VLOOKUP(D9,Itens!$A$2:$E$51,2,FALSE),"")</f>
        <v>Fertilizante organomineral NPK (formulação padrão)</v>
      </c>
      <c r="F9" t="str">
        <f>IFERROR(VLOOKUP(D9,Itens!$A$2:$E$51,4,FALSE),"")</f>
        <v>Organomineral</v>
      </c>
      <c r="G9" t="str">
        <f>IFERROR(VLOOKUP(D9,Itens!$A$2:$E$51,3,FALSE),"")</f>
        <v>kg</v>
      </c>
      <c r="H9">
        <v>6080</v>
      </c>
      <c r="I9" s="15">
        <f>VLOOKUP(Tabela3[[#This Row],[COD_ID]],Itens!A:E,5,0)</f>
        <v>2.8</v>
      </c>
      <c r="J9" s="15">
        <f>Tabela3[[#This Row],[Preço Unitário (R$)]]*Tabela3[[#This Row],[Quantidade]]</f>
        <v>17024</v>
      </c>
      <c r="K9" t="s">
        <v>174</v>
      </c>
      <c r="L9" t="s">
        <v>164</v>
      </c>
    </row>
    <row r="10" spans="1:12" x14ac:dyDescent="0.25">
      <c r="A10" s="9">
        <v>45579</v>
      </c>
      <c r="B10" t="s">
        <v>175</v>
      </c>
      <c r="C10" t="s">
        <v>176</v>
      </c>
      <c r="D10" t="s">
        <v>9</v>
      </c>
      <c r="E10" t="str">
        <f>IFERROR(VLOOKUP(D10,Itens!$A$2:$E$51,2,FALSE),"")</f>
        <v>Hexazinona 250 SC</v>
      </c>
      <c r="F10" t="str">
        <f>IFERROR(VLOOKUP(D10,Itens!$A$2:$E$51,4,FALSE),"")</f>
        <v>Herbicida</v>
      </c>
      <c r="G10" t="str">
        <f>IFERROR(VLOOKUP(D10,Itens!$A$2:$E$51,3,FALSE),"")</f>
        <v>L</v>
      </c>
      <c r="H10">
        <v>27.47</v>
      </c>
      <c r="I10" s="15">
        <f>VLOOKUP(Tabela3[[#This Row],[COD_ID]],Itens!A:E,5,0)</f>
        <v>110</v>
      </c>
      <c r="J10" s="15">
        <f>Tabela3[[#This Row],[Preço Unitário (R$)]]*Tabela3[[#This Row],[Quantidade]]</f>
        <v>3021.7</v>
      </c>
      <c r="K10" t="s">
        <v>166</v>
      </c>
      <c r="L10" t="s">
        <v>164</v>
      </c>
    </row>
    <row r="11" spans="1:12" x14ac:dyDescent="0.25">
      <c r="A11" s="9">
        <v>45591</v>
      </c>
      <c r="B11" t="s">
        <v>177</v>
      </c>
      <c r="C11" t="s">
        <v>178</v>
      </c>
      <c r="D11" t="s">
        <v>70</v>
      </c>
      <c r="E11" t="str">
        <f>IFERROR(VLOOKUP(D11,Itens!$A$2:$E$51,2,FALSE),"")</f>
        <v>Manganês (Mn)</v>
      </c>
      <c r="F11" t="str">
        <f>IFERROR(VLOOKUP(D11,Itens!$A$2:$E$51,4,FALSE),"")</f>
        <v>Micronutriente</v>
      </c>
      <c r="G11" t="str">
        <f>IFERROR(VLOOKUP(D11,Itens!$A$2:$E$51,3,FALSE),"")</f>
        <v>kg</v>
      </c>
      <c r="H11">
        <v>23.4</v>
      </c>
      <c r="I11" s="15">
        <f>VLOOKUP(Tabela3[[#This Row],[COD_ID]],Itens!A:E,5,0)</f>
        <v>10</v>
      </c>
      <c r="J11" s="15">
        <f>Tabela3[[#This Row],[Preço Unitário (R$)]]*Tabela3[[#This Row],[Quantidade]]</f>
        <v>234</v>
      </c>
      <c r="K11" t="s">
        <v>158</v>
      </c>
    </row>
    <row r="12" spans="1:12" x14ac:dyDescent="0.25">
      <c r="A12" s="9">
        <v>45592</v>
      </c>
      <c r="B12" t="s">
        <v>179</v>
      </c>
      <c r="C12" t="s">
        <v>157</v>
      </c>
      <c r="D12" t="s">
        <v>4</v>
      </c>
      <c r="E12" t="str">
        <f>IFERROR(VLOOKUP(D12,Itens!$A$2:$E$51,2,FALSE),"")</f>
        <v>Glifosato 480 SL</v>
      </c>
      <c r="F12" t="str">
        <f>IFERROR(VLOOKUP(D12,Itens!$A$2:$E$51,4,FALSE),"")</f>
        <v>Herbicida</v>
      </c>
      <c r="G12" t="str">
        <f>IFERROR(VLOOKUP(D12,Itens!$A$2:$E$51,3,FALSE),"")</f>
        <v>L</v>
      </c>
      <c r="H12">
        <v>22.71</v>
      </c>
      <c r="I12" s="15">
        <f>VLOOKUP(Tabela3[[#This Row],[COD_ID]],Itens!A:E,5,0)</f>
        <v>22</v>
      </c>
      <c r="J12" s="15">
        <f>Tabela3[[#This Row],[Preço Unitário (R$)]]*Tabela3[[#This Row],[Quantidade]]</f>
        <v>499.62</v>
      </c>
      <c r="K12" t="s">
        <v>169</v>
      </c>
      <c r="L12" t="s">
        <v>171</v>
      </c>
    </row>
    <row r="13" spans="1:12" x14ac:dyDescent="0.25">
      <c r="A13" s="9">
        <v>45596</v>
      </c>
      <c r="B13" t="s">
        <v>180</v>
      </c>
      <c r="C13" t="s">
        <v>181</v>
      </c>
      <c r="D13" t="s">
        <v>83</v>
      </c>
      <c r="E13" t="str">
        <f>IFERROR(VLOOKUP(D13,Itens!$A$2:$E$51,2,FALSE),"")</f>
        <v>Espalhante adesivo não iônico</v>
      </c>
      <c r="F13" t="str">
        <f>IFERROR(VLOOKUP(D13,Itens!$A$2:$E$51,4,FALSE),"")</f>
        <v>Adjuvante</v>
      </c>
      <c r="G13" t="str">
        <f>IFERROR(VLOOKUP(D13,Itens!$A$2:$E$51,3,FALSE),"")</f>
        <v>L</v>
      </c>
      <c r="H13">
        <v>48.97</v>
      </c>
      <c r="I13" s="15">
        <f>VLOOKUP(Tabela3[[#This Row],[COD_ID]],Itens!A:E,5,0)</f>
        <v>35</v>
      </c>
      <c r="J13" s="15">
        <f>Tabela3[[#This Row],[Preço Unitário (R$)]]*Tabela3[[#This Row],[Quantidade]]</f>
        <v>1713.95</v>
      </c>
      <c r="K13" t="s">
        <v>174</v>
      </c>
      <c r="L13" t="s">
        <v>159</v>
      </c>
    </row>
    <row r="14" spans="1:12" x14ac:dyDescent="0.25">
      <c r="A14" s="9">
        <v>45597</v>
      </c>
      <c r="B14" t="s">
        <v>182</v>
      </c>
      <c r="C14" t="s">
        <v>183</v>
      </c>
      <c r="D14" t="s">
        <v>72</v>
      </c>
      <c r="E14" t="str">
        <f>IFERROR(VLOOKUP(D14,Itens!$A$2:$E$51,2,FALSE),"")</f>
        <v>Mistura de micronutrientes (B+Zn+Mn+Cu)</v>
      </c>
      <c r="F14" t="str">
        <f>IFERROR(VLOOKUP(D14,Itens!$A$2:$E$51,4,FALSE),"")</f>
        <v>Micronutriente</v>
      </c>
      <c r="G14" t="str">
        <f>IFERROR(VLOOKUP(D14,Itens!$A$2:$E$51,3,FALSE),"")</f>
        <v>kg</v>
      </c>
      <c r="H14">
        <v>93.95</v>
      </c>
      <c r="I14" s="15">
        <f>VLOOKUP(Tabela3[[#This Row],[COD_ID]],Itens!A:E,5,0)</f>
        <v>18</v>
      </c>
      <c r="J14" s="15">
        <f>Tabela3[[#This Row],[Preço Unitário (R$)]]*Tabela3[[#This Row],[Quantidade]]</f>
        <v>1691.1000000000001</v>
      </c>
      <c r="K14" t="s">
        <v>184</v>
      </c>
    </row>
    <row r="15" spans="1:12" x14ac:dyDescent="0.25">
      <c r="A15" s="9">
        <v>45612</v>
      </c>
      <c r="B15" t="s">
        <v>185</v>
      </c>
      <c r="C15" t="s">
        <v>186</v>
      </c>
      <c r="D15" t="s">
        <v>62</v>
      </c>
      <c r="E15" t="str">
        <f>IFERROR(VLOOKUP(D15,Itens!$A$2:$E$51,2,FALSE),"")</f>
        <v>Fonte de Cálcio – Nitrato de cálcio</v>
      </c>
      <c r="F15" t="str">
        <f>IFERROR(VLOOKUP(D15,Itens!$A$2:$E$51,4,FALSE),"")</f>
        <v>Cálcio</v>
      </c>
      <c r="G15" t="str">
        <f>IFERROR(VLOOKUP(D15,Itens!$A$2:$E$51,3,FALSE),"")</f>
        <v>kg</v>
      </c>
      <c r="H15">
        <v>1.19</v>
      </c>
      <c r="I15" s="15">
        <f>VLOOKUP(Tabela3[[#This Row],[COD_ID]],Itens!A:E,5,0)</f>
        <v>5.5</v>
      </c>
      <c r="J15" s="15">
        <f>Tabela3[[#This Row],[Preço Unitário (R$)]]*Tabela3[[#This Row],[Quantidade]]</f>
        <v>6.5449999999999999</v>
      </c>
      <c r="K15" t="s">
        <v>184</v>
      </c>
      <c r="L15" t="s">
        <v>164</v>
      </c>
    </row>
    <row r="16" spans="1:12" x14ac:dyDescent="0.25">
      <c r="A16" s="9">
        <v>45615</v>
      </c>
      <c r="B16" t="s">
        <v>187</v>
      </c>
      <c r="C16" t="s">
        <v>178</v>
      </c>
      <c r="D16" t="s">
        <v>43</v>
      </c>
      <c r="E16" t="str">
        <f>IFERROR(VLOOKUP(D16,Itens!$A$2:$E$51,2,FALSE),"")</f>
        <v>Superfosfato triplo (TSP)</v>
      </c>
      <c r="F16" t="str">
        <f>IFERROR(VLOOKUP(D16,Itens!$A$2:$E$51,4,FALSE),"")</f>
        <v>Fosfatado</v>
      </c>
      <c r="G16" t="str">
        <f>IFERROR(VLOOKUP(D16,Itens!$A$2:$E$51,3,FALSE),"")</f>
        <v>kg</v>
      </c>
      <c r="H16">
        <v>15930</v>
      </c>
      <c r="I16" s="15">
        <f>VLOOKUP(Tabela3[[#This Row],[COD_ID]],Itens!A:E,5,0)</f>
        <v>3.2</v>
      </c>
      <c r="J16" s="15">
        <f>Tabela3[[#This Row],[Preço Unitário (R$)]]*Tabela3[[#This Row],[Quantidade]]</f>
        <v>50976</v>
      </c>
      <c r="K16" t="s">
        <v>169</v>
      </c>
      <c r="L16" t="s">
        <v>164</v>
      </c>
    </row>
    <row r="17" spans="1:12" x14ac:dyDescent="0.25">
      <c r="A17" s="9">
        <v>45630</v>
      </c>
      <c r="B17" t="s">
        <v>188</v>
      </c>
      <c r="C17" t="s">
        <v>173</v>
      </c>
      <c r="D17" t="s">
        <v>69</v>
      </c>
      <c r="E17" t="str">
        <f>IFERROR(VLOOKUP(D17,Itens!$A$2:$E$51,2,FALSE),"")</f>
        <v>Zinco (Zn) granulado</v>
      </c>
      <c r="F17" t="str">
        <f>IFERROR(VLOOKUP(D17,Itens!$A$2:$E$51,4,FALSE),"")</f>
        <v>Micronutriente</v>
      </c>
      <c r="G17" t="str">
        <f>IFERROR(VLOOKUP(D17,Itens!$A$2:$E$51,3,FALSE),"")</f>
        <v>kg</v>
      </c>
      <c r="H17">
        <v>7.93</v>
      </c>
      <c r="I17" s="15">
        <f>VLOOKUP(Tabela3[[#This Row],[COD_ID]],Itens!A:E,5,0)</f>
        <v>14</v>
      </c>
      <c r="J17" s="15">
        <f>Tabela3[[#This Row],[Preço Unitário (R$)]]*Tabela3[[#This Row],[Quantidade]]</f>
        <v>111.02</v>
      </c>
      <c r="K17" t="s">
        <v>174</v>
      </c>
      <c r="L17" t="s">
        <v>162</v>
      </c>
    </row>
    <row r="18" spans="1:12" x14ac:dyDescent="0.25">
      <c r="A18" s="9">
        <v>45630</v>
      </c>
      <c r="B18" t="s">
        <v>189</v>
      </c>
      <c r="C18" t="s">
        <v>161</v>
      </c>
      <c r="D18" t="s">
        <v>74</v>
      </c>
      <c r="E18" t="str">
        <f>IFERROR(VLOOKUP(D18,Itens!$A$2:$E$51,2,FALSE),"")</f>
        <v>Azospirillum brasilense (líquido)</v>
      </c>
      <c r="F18" t="str">
        <f>IFERROR(VLOOKUP(D18,Itens!$A$2:$E$51,4,FALSE),"")</f>
        <v>Inoculante</v>
      </c>
      <c r="G18" t="str">
        <f>IFERROR(VLOOKUP(D18,Itens!$A$2:$E$51,3,FALSE),"")</f>
        <v>L</v>
      </c>
      <c r="H18">
        <v>8.0399999999999991</v>
      </c>
      <c r="I18" s="15">
        <f>VLOOKUP(Tabela3[[#This Row],[COD_ID]],Itens!A:E,5,0)</f>
        <v>45</v>
      </c>
      <c r="J18" s="15">
        <f>Tabela3[[#This Row],[Preço Unitário (R$)]]*Tabela3[[#This Row],[Quantidade]]</f>
        <v>361.79999999999995</v>
      </c>
      <c r="K18" t="s">
        <v>166</v>
      </c>
      <c r="L18" t="s">
        <v>171</v>
      </c>
    </row>
    <row r="19" spans="1:12" x14ac:dyDescent="0.25">
      <c r="A19" s="9">
        <v>45636</v>
      </c>
      <c r="B19" t="s">
        <v>190</v>
      </c>
      <c r="C19" t="s">
        <v>186</v>
      </c>
      <c r="D19" t="s">
        <v>37</v>
      </c>
      <c r="E19" t="str">
        <f>IFERROR(VLOOKUP(D19,Itens!$A$2:$E$51,2,FALSE),"")</f>
        <v>Sulfato de potássio 50% K2O</v>
      </c>
      <c r="F19" t="str">
        <f>IFERROR(VLOOKUP(D19,Itens!$A$2:$E$51,4,FALSE),"")</f>
        <v>Fertilizante (K/S)</v>
      </c>
      <c r="G19" t="str">
        <f>IFERROR(VLOOKUP(D19,Itens!$A$2:$E$51,3,FALSE),"")</f>
        <v>kg</v>
      </c>
      <c r="H19">
        <v>3890</v>
      </c>
      <c r="I19" s="15">
        <f>VLOOKUP(Tabela3[[#This Row],[COD_ID]],Itens!A:E,5,0)</f>
        <v>4.8</v>
      </c>
      <c r="J19" s="15">
        <f>Tabela3[[#This Row],[Preço Unitário (R$)]]*Tabela3[[#This Row],[Quantidade]]</f>
        <v>18672</v>
      </c>
      <c r="K19" t="s">
        <v>155</v>
      </c>
      <c r="L19" t="s">
        <v>171</v>
      </c>
    </row>
    <row r="20" spans="1:12" x14ac:dyDescent="0.25">
      <c r="A20" s="9">
        <v>45639</v>
      </c>
      <c r="B20" t="s">
        <v>191</v>
      </c>
      <c r="C20" t="s">
        <v>186</v>
      </c>
      <c r="D20" t="s">
        <v>8</v>
      </c>
      <c r="E20" t="str">
        <f>IFERROR(VLOOKUP(D20,Itens!$A$2:$E$51,2,FALSE),"")</f>
        <v>Atrazina 500 SC</v>
      </c>
      <c r="F20" t="str">
        <f>IFERROR(VLOOKUP(D20,Itens!$A$2:$E$51,4,FALSE),"")</f>
        <v>Herbicida</v>
      </c>
      <c r="G20" t="str">
        <f>IFERROR(VLOOKUP(D20,Itens!$A$2:$E$51,3,FALSE),"")</f>
        <v>L</v>
      </c>
      <c r="H20">
        <v>8.6300000000000008</v>
      </c>
      <c r="I20" s="15">
        <f>VLOOKUP(Tabela3[[#This Row],[COD_ID]],Itens!A:E,5,0)</f>
        <v>24</v>
      </c>
      <c r="J20" s="15">
        <f>Tabela3[[#This Row],[Preço Unitário (R$)]]*Tabela3[[#This Row],[Quantidade]]</f>
        <v>207.12</v>
      </c>
      <c r="K20" t="s">
        <v>155</v>
      </c>
    </row>
    <row r="21" spans="1:12" x14ac:dyDescent="0.25">
      <c r="A21" s="9">
        <v>45640</v>
      </c>
      <c r="B21" t="s">
        <v>192</v>
      </c>
      <c r="C21" t="s">
        <v>178</v>
      </c>
      <c r="D21" t="s">
        <v>10</v>
      </c>
      <c r="E21" t="str">
        <f>IFERROR(VLOOKUP(D21,Itens!$A$2:$E$51,2,FALSE),"")</f>
        <v>Diuron 500 SC</v>
      </c>
      <c r="F21" t="str">
        <f>IFERROR(VLOOKUP(D21,Itens!$A$2:$E$51,4,FALSE),"")</f>
        <v>Herbicida</v>
      </c>
      <c r="G21" t="str">
        <f>IFERROR(VLOOKUP(D21,Itens!$A$2:$E$51,3,FALSE),"")</f>
        <v>L</v>
      </c>
      <c r="H21">
        <v>181.18</v>
      </c>
      <c r="I21" s="15">
        <f>VLOOKUP(Tabela3[[#This Row],[COD_ID]],Itens!A:E,5,0)</f>
        <v>30</v>
      </c>
      <c r="J21" s="15">
        <f>Tabela3[[#This Row],[Preço Unitário (R$)]]*Tabela3[[#This Row],[Quantidade]]</f>
        <v>5435.4000000000005</v>
      </c>
      <c r="K21" t="s">
        <v>155</v>
      </c>
      <c r="L21" t="s">
        <v>162</v>
      </c>
    </row>
    <row r="22" spans="1:12" x14ac:dyDescent="0.25">
      <c r="A22" s="9">
        <v>45643</v>
      </c>
      <c r="B22" t="s">
        <v>193</v>
      </c>
      <c r="C22" t="s">
        <v>186</v>
      </c>
      <c r="D22" t="s">
        <v>57</v>
      </c>
      <c r="E22" t="str">
        <f>IFERROR(VLOOKUP(D22,Itens!$A$2:$E$51,2,FALSE),"")</f>
        <v>Cal virgem agrícola</v>
      </c>
      <c r="F22" t="str">
        <f>IFERROR(VLOOKUP(D22,Itens!$A$2:$E$51,4,FALSE),"")</f>
        <v>Corretivo (Calagem)</v>
      </c>
      <c r="G22" t="str">
        <f>IFERROR(VLOOKUP(D22,Itens!$A$2:$E$51,3,FALSE),"")</f>
        <v>kg</v>
      </c>
      <c r="H22">
        <v>360</v>
      </c>
      <c r="I22" s="15">
        <f>VLOOKUP(Tabela3[[#This Row],[COD_ID]],Itens!A:E,5,0)</f>
        <v>1.2</v>
      </c>
      <c r="J22" s="15">
        <f>Tabela3[[#This Row],[Preço Unitário (R$)]]*Tabela3[[#This Row],[Quantidade]]</f>
        <v>432</v>
      </c>
      <c r="K22" t="s">
        <v>166</v>
      </c>
    </row>
    <row r="23" spans="1:12" x14ac:dyDescent="0.25">
      <c r="A23" s="9">
        <v>45660</v>
      </c>
      <c r="B23" t="s">
        <v>194</v>
      </c>
      <c r="C23" t="s">
        <v>186</v>
      </c>
      <c r="D23" t="s">
        <v>77</v>
      </c>
      <c r="E23" t="str">
        <f>IFERROR(VLOOKUP(D23,Itens!$A$2:$E$51,2,FALSE),"")</f>
        <v>Composto orgânico (granulado)</v>
      </c>
      <c r="F23" t="str">
        <f>IFERROR(VLOOKUP(D23,Itens!$A$2:$E$51,4,FALSE),"")</f>
        <v>Organomineral</v>
      </c>
      <c r="G23" t="str">
        <f>IFERROR(VLOOKUP(D23,Itens!$A$2:$E$51,3,FALSE),"")</f>
        <v>kg</v>
      </c>
      <c r="H23">
        <v>1690</v>
      </c>
      <c r="I23" s="15">
        <f>VLOOKUP(Tabela3[[#This Row],[COD_ID]],Itens!A:E,5,0)</f>
        <v>1.2</v>
      </c>
      <c r="J23" s="15">
        <f>Tabela3[[#This Row],[Preço Unitário (R$)]]*Tabela3[[#This Row],[Quantidade]]</f>
        <v>2028</v>
      </c>
      <c r="K23" t="s">
        <v>184</v>
      </c>
      <c r="L23" t="s">
        <v>171</v>
      </c>
    </row>
    <row r="24" spans="1:12" x14ac:dyDescent="0.25">
      <c r="A24" s="9">
        <v>45675</v>
      </c>
      <c r="B24" t="s">
        <v>195</v>
      </c>
      <c r="C24" t="s">
        <v>176</v>
      </c>
      <c r="D24" t="s">
        <v>23</v>
      </c>
      <c r="E24" t="str">
        <f>IFERROR(VLOOKUP(D24,Itens!$A$2:$E$51,2,FALSE),"")</f>
        <v xml:space="preserve"> Fipronil 250 SC</v>
      </c>
      <c r="F24" t="str">
        <f>IFERROR(VLOOKUP(D24,Itens!$A$2:$E$51,4,FALSE),"")</f>
        <v>Inseticida</v>
      </c>
      <c r="G24" t="str">
        <f>IFERROR(VLOOKUP(D24,Itens!$A$2:$E$51,3,FALSE),"")</f>
        <v>L</v>
      </c>
      <c r="H24">
        <v>62.23</v>
      </c>
      <c r="I24" s="15">
        <f>VLOOKUP(Tabela3[[#This Row],[COD_ID]],Itens!A:E,5,0)</f>
        <v>220</v>
      </c>
      <c r="J24" s="15">
        <f>Tabela3[[#This Row],[Preço Unitário (R$)]]*Tabela3[[#This Row],[Quantidade]]</f>
        <v>13690.599999999999</v>
      </c>
      <c r="K24" t="s">
        <v>174</v>
      </c>
      <c r="L24" t="s">
        <v>171</v>
      </c>
    </row>
    <row r="25" spans="1:12" x14ac:dyDescent="0.25">
      <c r="A25" s="9">
        <v>45677</v>
      </c>
      <c r="B25" t="s">
        <v>196</v>
      </c>
      <c r="C25" t="s">
        <v>157</v>
      </c>
      <c r="D25" t="s">
        <v>70</v>
      </c>
      <c r="E25" t="str">
        <f>IFERROR(VLOOKUP(D25,Itens!$A$2:$E$51,2,FALSE),"")</f>
        <v>Manganês (Mn)</v>
      </c>
      <c r="F25" t="str">
        <f>IFERROR(VLOOKUP(D25,Itens!$A$2:$E$51,4,FALSE),"")</f>
        <v>Micronutriente</v>
      </c>
      <c r="G25" t="str">
        <f>IFERROR(VLOOKUP(D25,Itens!$A$2:$E$51,3,FALSE),"")</f>
        <v>kg</v>
      </c>
      <c r="H25">
        <v>11.54</v>
      </c>
      <c r="I25" s="15">
        <f>VLOOKUP(Tabela3[[#This Row],[COD_ID]],Itens!A:E,5,0)</f>
        <v>10</v>
      </c>
      <c r="J25" s="15">
        <f>Tabela3[[#This Row],[Preço Unitário (R$)]]*Tabela3[[#This Row],[Quantidade]]</f>
        <v>115.39999999999999</v>
      </c>
      <c r="K25" t="s">
        <v>166</v>
      </c>
      <c r="L25" t="s">
        <v>159</v>
      </c>
    </row>
    <row r="26" spans="1:12" x14ac:dyDescent="0.25">
      <c r="A26" s="9">
        <v>45697</v>
      </c>
      <c r="B26" t="s">
        <v>197</v>
      </c>
      <c r="C26" t="s">
        <v>186</v>
      </c>
      <c r="D26" t="s">
        <v>69</v>
      </c>
      <c r="E26" t="str">
        <f>IFERROR(VLOOKUP(D26,Itens!$A$2:$E$51,2,FALSE),"")</f>
        <v>Zinco (Zn) granulado</v>
      </c>
      <c r="F26" t="str">
        <f>IFERROR(VLOOKUP(D26,Itens!$A$2:$E$51,4,FALSE),"")</f>
        <v>Micronutriente</v>
      </c>
      <c r="G26" t="str">
        <f>IFERROR(VLOOKUP(D26,Itens!$A$2:$E$51,3,FALSE),"")</f>
        <v>kg</v>
      </c>
      <c r="H26">
        <v>19.63</v>
      </c>
      <c r="I26" s="15">
        <f>VLOOKUP(Tabela3[[#This Row],[COD_ID]],Itens!A:E,5,0)</f>
        <v>14</v>
      </c>
      <c r="J26" s="15">
        <f>Tabela3[[#This Row],[Preço Unitário (R$)]]*Tabela3[[#This Row],[Quantidade]]</f>
        <v>274.82</v>
      </c>
      <c r="K26" t="s">
        <v>174</v>
      </c>
      <c r="L26" t="s">
        <v>171</v>
      </c>
    </row>
    <row r="27" spans="1:12" x14ac:dyDescent="0.25">
      <c r="A27" s="9">
        <v>45698</v>
      </c>
      <c r="B27" t="s">
        <v>198</v>
      </c>
      <c r="C27" t="s">
        <v>154</v>
      </c>
      <c r="D27" t="s">
        <v>52</v>
      </c>
      <c r="E27" t="str">
        <f>IFERROR(VLOOKUP(D27,Itens!$A$2:$E$51,2,FALSE),"")</f>
        <v>Calcário calcítico (PRNT alto)</v>
      </c>
      <c r="F27" t="str">
        <f>IFERROR(VLOOKUP(D27,Itens!$A$2:$E$51,4,FALSE),"")</f>
        <v>Corretivo (Calcário)</v>
      </c>
      <c r="G27" t="str">
        <f>IFERROR(VLOOKUP(D27,Itens!$A$2:$E$51,3,FALSE),"")</f>
        <v>t</v>
      </c>
      <c r="H27">
        <v>83</v>
      </c>
      <c r="I27" s="15">
        <f>VLOOKUP(Tabela3[[#This Row],[COD_ID]],Itens!A:E,5,0)</f>
        <v>160</v>
      </c>
      <c r="J27" s="15">
        <f>Tabela3[[#This Row],[Preço Unitário (R$)]]*Tabela3[[#This Row],[Quantidade]]</f>
        <v>13280</v>
      </c>
      <c r="K27" t="s">
        <v>155</v>
      </c>
      <c r="L27" t="s">
        <v>164</v>
      </c>
    </row>
    <row r="28" spans="1:12" x14ac:dyDescent="0.25">
      <c r="A28" s="9">
        <v>45702</v>
      </c>
      <c r="B28" t="s">
        <v>199</v>
      </c>
      <c r="C28" t="s">
        <v>168</v>
      </c>
      <c r="D28" t="s">
        <v>16</v>
      </c>
      <c r="E28" t="str">
        <f>IFERROR(VLOOKUP(D28,Itens!$A$2:$E$51,2,FALSE),"")</f>
        <v>MSMA (concentrado solúvel)</v>
      </c>
      <c r="F28" t="str">
        <f>IFERROR(VLOOKUP(D28,Itens!$A$2:$E$51,4,FALSE),"")</f>
        <v>Herbicida</v>
      </c>
      <c r="G28" t="str">
        <f>IFERROR(VLOOKUP(D28,Itens!$A$2:$E$51,3,FALSE),"")</f>
        <v>L</v>
      </c>
      <c r="H28">
        <v>62.98</v>
      </c>
      <c r="I28" s="15">
        <f>VLOOKUP(Tabela3[[#This Row],[COD_ID]],Itens!A:E,5,0)</f>
        <v>45</v>
      </c>
      <c r="J28" s="15">
        <f>Tabela3[[#This Row],[Preço Unitário (R$)]]*Tabela3[[#This Row],[Quantidade]]</f>
        <v>2834.1</v>
      </c>
      <c r="K28" t="s">
        <v>174</v>
      </c>
      <c r="L28" t="s">
        <v>159</v>
      </c>
    </row>
    <row r="29" spans="1:12" x14ac:dyDescent="0.25">
      <c r="A29" s="9">
        <v>45704</v>
      </c>
      <c r="B29" t="s">
        <v>200</v>
      </c>
      <c r="C29" t="s">
        <v>173</v>
      </c>
      <c r="D29" t="s">
        <v>27</v>
      </c>
      <c r="E29" t="str">
        <f>IFERROR(VLOOKUP(D29,Itens!$A$2:$E$51,2,FALSE),"")</f>
        <v>Abamectina 18 EC</v>
      </c>
      <c r="F29" t="str">
        <f>IFERROR(VLOOKUP(D29,Itens!$A$2:$E$51,4,FALSE),"")</f>
        <v>Nematicida</v>
      </c>
      <c r="G29" t="str">
        <f>IFERROR(VLOOKUP(D29,Itens!$A$2:$E$51,3,FALSE),"")</f>
        <v>L</v>
      </c>
      <c r="H29">
        <v>21.9</v>
      </c>
      <c r="I29" s="15">
        <f>VLOOKUP(Tabela3[[#This Row],[COD_ID]],Itens!A:E,5,0)</f>
        <v>220</v>
      </c>
      <c r="J29" s="15">
        <f>Tabela3[[#This Row],[Preço Unitário (R$)]]*Tabela3[[#This Row],[Quantidade]]</f>
        <v>4818</v>
      </c>
      <c r="K29" t="s">
        <v>158</v>
      </c>
      <c r="L29" t="s">
        <v>159</v>
      </c>
    </row>
    <row r="30" spans="1:12" x14ac:dyDescent="0.25">
      <c r="A30" s="9">
        <v>45725</v>
      </c>
      <c r="B30" t="s">
        <v>201</v>
      </c>
      <c r="C30" t="s">
        <v>157</v>
      </c>
      <c r="D30" t="s">
        <v>76</v>
      </c>
      <c r="E30" t="str">
        <f>IFERROR(VLOOKUP(D30,Itens!$A$2:$E$51,2,FALSE),"")</f>
        <v>Bacillus spp. promotor de crescimento</v>
      </c>
      <c r="F30" t="str">
        <f>IFERROR(VLOOKUP(D30,Itens!$A$2:$E$51,4,FALSE),"")</f>
        <v>Inoculante</v>
      </c>
      <c r="G30" t="str">
        <f>IFERROR(VLOOKUP(D30,Itens!$A$2:$E$51,3,FALSE),"")</f>
        <v>kg</v>
      </c>
      <c r="H30">
        <v>12.94</v>
      </c>
      <c r="I30" s="15">
        <f>VLOOKUP(Tabela3[[#This Row],[COD_ID]],Itens!A:E,5,0)</f>
        <v>120</v>
      </c>
      <c r="J30" s="15">
        <f>Tabela3[[#This Row],[Preço Unitário (R$)]]*Tabela3[[#This Row],[Quantidade]]</f>
        <v>1552.8</v>
      </c>
      <c r="K30" t="s">
        <v>155</v>
      </c>
      <c r="L30" t="s">
        <v>159</v>
      </c>
    </row>
    <row r="31" spans="1:12" x14ac:dyDescent="0.25">
      <c r="A31" s="9">
        <v>45728</v>
      </c>
      <c r="B31" t="s">
        <v>202</v>
      </c>
      <c r="C31" t="s">
        <v>154</v>
      </c>
      <c r="D31" t="s">
        <v>13</v>
      </c>
      <c r="E31" t="str">
        <f>IFERROR(VLOOKUP(D31,Itens!$A$2:$E$51,2,FALSE),"")</f>
        <v xml:space="preserve"> Imazapic 700 WG</v>
      </c>
      <c r="F31" t="str">
        <f>IFERROR(VLOOKUP(D31,Itens!$A$2:$E$51,4,FALSE),"")</f>
        <v>Herbicida</v>
      </c>
      <c r="G31" t="str">
        <f>IFERROR(VLOOKUP(D31,Itens!$A$2:$E$51,3,FALSE),"")</f>
        <v>kg</v>
      </c>
      <c r="H31">
        <v>11.03</v>
      </c>
      <c r="I31" s="15">
        <f>VLOOKUP(Tabela3[[#This Row],[COD_ID]],Itens!A:E,5,0)</f>
        <v>320</v>
      </c>
      <c r="J31" s="15">
        <f>Tabela3[[#This Row],[Preço Unitário (R$)]]*Tabela3[[#This Row],[Quantidade]]</f>
        <v>3529.6</v>
      </c>
      <c r="K31" t="s">
        <v>174</v>
      </c>
      <c r="L31" t="s">
        <v>162</v>
      </c>
    </row>
    <row r="32" spans="1:12" x14ac:dyDescent="0.25">
      <c r="A32" s="9">
        <v>45731</v>
      </c>
      <c r="B32" t="s">
        <v>203</v>
      </c>
      <c r="C32" t="s">
        <v>173</v>
      </c>
      <c r="D32" t="s">
        <v>83</v>
      </c>
      <c r="E32" t="str">
        <f>IFERROR(VLOOKUP(D32,Itens!$A$2:$E$51,2,FALSE),"")</f>
        <v>Espalhante adesivo não iônico</v>
      </c>
      <c r="F32" t="str">
        <f>IFERROR(VLOOKUP(D32,Itens!$A$2:$E$51,4,FALSE),"")</f>
        <v>Adjuvante</v>
      </c>
      <c r="G32" t="str">
        <f>IFERROR(VLOOKUP(D32,Itens!$A$2:$E$51,3,FALSE),"")</f>
        <v>L</v>
      </c>
      <c r="H32">
        <v>19.64</v>
      </c>
      <c r="I32" s="15">
        <f>VLOOKUP(Tabela3[[#This Row],[COD_ID]],Itens!A:E,5,0)</f>
        <v>35</v>
      </c>
      <c r="J32" s="15">
        <f>Tabela3[[#This Row],[Preço Unitário (R$)]]*Tabela3[[#This Row],[Quantidade]]</f>
        <v>687.4</v>
      </c>
      <c r="K32" t="s">
        <v>169</v>
      </c>
      <c r="L32" t="s">
        <v>171</v>
      </c>
    </row>
    <row r="33" spans="1:12" x14ac:dyDescent="0.25">
      <c r="A33" s="9">
        <v>45745</v>
      </c>
      <c r="B33" t="s">
        <v>204</v>
      </c>
      <c r="C33" t="s">
        <v>168</v>
      </c>
      <c r="D33" t="s">
        <v>20</v>
      </c>
      <c r="E33" t="str">
        <f>IFERROR(VLOOKUP(D33,Itens!$A$2:$E$51,2,FALSE),"")</f>
        <v>Tiametoxam 250 WG</v>
      </c>
      <c r="F33" t="str">
        <f>IFERROR(VLOOKUP(D33,Itens!$A$2:$E$51,4,FALSE),"")</f>
        <v>Inseticida</v>
      </c>
      <c r="G33" t="str">
        <f>IFERROR(VLOOKUP(D33,Itens!$A$2:$E$51,3,FALSE),"")</f>
        <v>kg</v>
      </c>
      <c r="H33">
        <v>2.5499999999999998</v>
      </c>
      <c r="I33" s="15">
        <f>VLOOKUP(Tabela3[[#This Row],[COD_ID]],Itens!A:E,5,0)</f>
        <v>400</v>
      </c>
      <c r="J33" s="15">
        <f>Tabela3[[#This Row],[Preço Unitário (R$)]]*Tabela3[[#This Row],[Quantidade]]</f>
        <v>1019.9999999999999</v>
      </c>
      <c r="K33" t="s">
        <v>155</v>
      </c>
      <c r="L33" t="s">
        <v>171</v>
      </c>
    </row>
    <row r="34" spans="1:12" x14ac:dyDescent="0.25">
      <c r="A34" s="9">
        <v>45759</v>
      </c>
      <c r="B34" t="s">
        <v>205</v>
      </c>
      <c r="C34" t="s">
        <v>176</v>
      </c>
      <c r="D34" t="s">
        <v>17</v>
      </c>
      <c r="E34" t="str">
        <f>IFERROR(VLOOKUP(D34,Itens!$A$2:$E$51,2,FALSE),"")</f>
        <v>Inseticida – Imidacloprido 200 SL</v>
      </c>
      <c r="F34" t="str">
        <f>IFERROR(VLOOKUP(D34,Itens!$A$2:$E$51,4,FALSE),"")</f>
        <v>Inseticida</v>
      </c>
      <c r="G34" t="str">
        <f>IFERROR(VLOOKUP(D34,Itens!$A$2:$E$51,3,FALSE),"")</f>
        <v>L</v>
      </c>
      <c r="H34">
        <v>97.86</v>
      </c>
      <c r="I34" s="15">
        <f>VLOOKUP(Tabela3[[#This Row],[COD_ID]],Itens!A:E,5,0)</f>
        <v>120</v>
      </c>
      <c r="J34" s="15">
        <f>Tabela3[[#This Row],[Preço Unitário (R$)]]*Tabela3[[#This Row],[Quantidade]]</f>
        <v>11743.2</v>
      </c>
      <c r="K34" t="s">
        <v>174</v>
      </c>
    </row>
    <row r="35" spans="1:12" x14ac:dyDescent="0.25">
      <c r="A35" s="9">
        <v>45760</v>
      </c>
      <c r="B35" t="s">
        <v>206</v>
      </c>
      <c r="C35" t="s">
        <v>183</v>
      </c>
      <c r="D35" t="s">
        <v>77</v>
      </c>
      <c r="E35" t="str">
        <f>IFERROR(VLOOKUP(D35,Itens!$A$2:$E$51,2,FALSE),"")</f>
        <v>Composto orgânico (granulado)</v>
      </c>
      <c r="F35" t="str">
        <f>IFERROR(VLOOKUP(D35,Itens!$A$2:$E$51,4,FALSE),"")</f>
        <v>Organomineral</v>
      </c>
      <c r="G35" t="str">
        <f>IFERROR(VLOOKUP(D35,Itens!$A$2:$E$51,3,FALSE),"")</f>
        <v>kg</v>
      </c>
      <c r="H35">
        <v>3690</v>
      </c>
      <c r="I35" s="15">
        <f>VLOOKUP(Tabela3[[#This Row],[COD_ID]],Itens!A:E,5,0)</f>
        <v>1.2</v>
      </c>
      <c r="J35" s="15">
        <f>Tabela3[[#This Row],[Preço Unitário (R$)]]*Tabela3[[#This Row],[Quantidade]]</f>
        <v>4428</v>
      </c>
      <c r="K35" t="s">
        <v>174</v>
      </c>
      <c r="L35" t="s">
        <v>171</v>
      </c>
    </row>
    <row r="36" spans="1:12" x14ac:dyDescent="0.25">
      <c r="A36" s="9">
        <v>45762</v>
      </c>
      <c r="B36" t="s">
        <v>207</v>
      </c>
      <c r="C36" t="s">
        <v>183</v>
      </c>
      <c r="D36" t="s">
        <v>4</v>
      </c>
      <c r="E36" t="str">
        <f>IFERROR(VLOOKUP(D36,Itens!$A$2:$E$51,2,FALSE),"")</f>
        <v>Glifosato 480 SL</v>
      </c>
      <c r="F36" t="str">
        <f>IFERROR(VLOOKUP(D36,Itens!$A$2:$E$51,4,FALSE),"")</f>
        <v>Herbicida</v>
      </c>
      <c r="G36" t="str">
        <f>IFERROR(VLOOKUP(D36,Itens!$A$2:$E$51,3,FALSE),"")</f>
        <v>L</v>
      </c>
      <c r="H36">
        <v>25.34</v>
      </c>
      <c r="I36" s="15">
        <f>VLOOKUP(Tabela3[[#This Row],[COD_ID]],Itens!A:E,5,0)</f>
        <v>22</v>
      </c>
      <c r="J36" s="15">
        <f>Tabela3[[#This Row],[Preço Unitário (R$)]]*Tabela3[[#This Row],[Quantidade]]</f>
        <v>557.48</v>
      </c>
      <c r="K36" t="s">
        <v>169</v>
      </c>
      <c r="L36" t="s">
        <v>171</v>
      </c>
    </row>
    <row r="37" spans="1:12" x14ac:dyDescent="0.25">
      <c r="A37" s="9">
        <v>45775</v>
      </c>
      <c r="B37" t="s">
        <v>208</v>
      </c>
      <c r="C37" t="s">
        <v>173</v>
      </c>
      <c r="D37" t="s">
        <v>81</v>
      </c>
      <c r="E37" t="str">
        <f>IFERROR(VLOOKUP(D37,Itens!$A$2:$E$51,2,FALSE),"")</f>
        <v>Óleo mineral emulsionável</v>
      </c>
      <c r="F37" t="str">
        <f>IFERROR(VLOOKUP(D37,Itens!$A$2:$E$51,4,FALSE),"")</f>
        <v>Adjuvante</v>
      </c>
      <c r="G37" t="str">
        <f>IFERROR(VLOOKUP(D37,Itens!$A$2:$E$51,3,FALSE),"")</f>
        <v>L</v>
      </c>
      <c r="H37">
        <v>13.33</v>
      </c>
      <c r="I37" s="15">
        <f>VLOOKUP(Tabela3[[#This Row],[COD_ID]],Itens!A:E,5,0)</f>
        <v>20</v>
      </c>
      <c r="J37" s="15">
        <f>Tabela3[[#This Row],[Preço Unitário (R$)]]*Tabela3[[#This Row],[Quantidade]]</f>
        <v>266.60000000000002</v>
      </c>
      <c r="K37" t="s">
        <v>169</v>
      </c>
      <c r="L37" t="s">
        <v>171</v>
      </c>
    </row>
    <row r="38" spans="1:12" x14ac:dyDescent="0.25">
      <c r="A38" s="9">
        <v>45780</v>
      </c>
      <c r="B38" t="s">
        <v>209</v>
      </c>
      <c r="C38" t="s">
        <v>157</v>
      </c>
      <c r="D38" t="s">
        <v>4</v>
      </c>
      <c r="E38" t="str">
        <f>IFERROR(VLOOKUP(D38,Itens!$A$2:$E$51,2,FALSE),"")</f>
        <v>Glifosato 480 SL</v>
      </c>
      <c r="F38" t="str">
        <f>IFERROR(VLOOKUP(D38,Itens!$A$2:$E$51,4,FALSE),"")</f>
        <v>Herbicida</v>
      </c>
      <c r="G38" t="str">
        <f>IFERROR(VLOOKUP(D38,Itens!$A$2:$E$51,3,FALSE),"")</f>
        <v>L</v>
      </c>
      <c r="H38">
        <v>54.54</v>
      </c>
      <c r="I38" s="15">
        <f>VLOOKUP(Tabela3[[#This Row],[COD_ID]],Itens!A:E,5,0)</f>
        <v>22</v>
      </c>
      <c r="J38" s="15">
        <f>Tabela3[[#This Row],[Preço Unitário (R$)]]*Tabela3[[#This Row],[Quantidade]]</f>
        <v>1199.8799999999999</v>
      </c>
      <c r="K38" t="s">
        <v>169</v>
      </c>
      <c r="L38" t="s">
        <v>171</v>
      </c>
    </row>
    <row r="39" spans="1:12" x14ac:dyDescent="0.25">
      <c r="A39" s="9">
        <v>45790</v>
      </c>
      <c r="B39" t="s">
        <v>210</v>
      </c>
      <c r="C39" t="s">
        <v>161</v>
      </c>
      <c r="D39" t="s">
        <v>23</v>
      </c>
      <c r="E39" t="str">
        <f>IFERROR(VLOOKUP(D39,Itens!$A$2:$E$51,2,FALSE),"")</f>
        <v xml:space="preserve"> Fipronil 250 SC</v>
      </c>
      <c r="F39" t="str">
        <f>IFERROR(VLOOKUP(D39,Itens!$A$2:$E$51,4,FALSE),"")</f>
        <v>Inseticida</v>
      </c>
      <c r="G39" t="str">
        <f>IFERROR(VLOOKUP(D39,Itens!$A$2:$E$51,3,FALSE),"")</f>
        <v>L</v>
      </c>
      <c r="H39">
        <v>54.37</v>
      </c>
      <c r="I39" s="15">
        <f>VLOOKUP(Tabela3[[#This Row],[COD_ID]],Itens!A:E,5,0)</f>
        <v>220</v>
      </c>
      <c r="J39" s="15">
        <f>Tabela3[[#This Row],[Preço Unitário (R$)]]*Tabela3[[#This Row],[Quantidade]]</f>
        <v>11961.4</v>
      </c>
      <c r="K39" t="s">
        <v>184</v>
      </c>
      <c r="L39" t="s">
        <v>164</v>
      </c>
    </row>
    <row r="40" spans="1:12" x14ac:dyDescent="0.25">
      <c r="A40" s="9">
        <v>45795</v>
      </c>
      <c r="B40" t="s">
        <v>211</v>
      </c>
      <c r="C40" t="s">
        <v>161</v>
      </c>
      <c r="D40" t="s">
        <v>20</v>
      </c>
      <c r="E40" t="str">
        <f>IFERROR(VLOOKUP(D40,Itens!$A$2:$E$51,2,FALSE),"")</f>
        <v>Tiametoxam 250 WG</v>
      </c>
      <c r="F40" t="str">
        <f>IFERROR(VLOOKUP(D40,Itens!$A$2:$E$51,4,FALSE),"")</f>
        <v>Inseticida</v>
      </c>
      <c r="G40" t="str">
        <f>IFERROR(VLOOKUP(D40,Itens!$A$2:$E$51,3,FALSE),"")</f>
        <v>kg</v>
      </c>
      <c r="H40">
        <v>6.47</v>
      </c>
      <c r="I40" s="15">
        <f>VLOOKUP(Tabela3[[#This Row],[COD_ID]],Itens!A:E,5,0)</f>
        <v>400</v>
      </c>
      <c r="J40" s="15">
        <f>Tabela3[[#This Row],[Preço Unitário (R$)]]*Tabela3[[#This Row],[Quantidade]]</f>
        <v>2588</v>
      </c>
      <c r="K40" t="s">
        <v>166</v>
      </c>
    </row>
    <row r="41" spans="1:12" x14ac:dyDescent="0.25">
      <c r="A41" s="9">
        <v>45795</v>
      </c>
      <c r="B41" t="s">
        <v>212</v>
      </c>
      <c r="C41" t="s">
        <v>157</v>
      </c>
      <c r="D41" t="s">
        <v>23</v>
      </c>
      <c r="E41" t="str">
        <f>IFERROR(VLOOKUP(D41,Itens!$A$2:$E$51,2,FALSE),"")</f>
        <v xml:space="preserve"> Fipronil 250 SC</v>
      </c>
      <c r="F41" t="str">
        <f>IFERROR(VLOOKUP(D41,Itens!$A$2:$E$51,4,FALSE),"")</f>
        <v>Inseticida</v>
      </c>
      <c r="G41" t="str">
        <f>IFERROR(VLOOKUP(D41,Itens!$A$2:$E$51,3,FALSE),"")</f>
        <v>L</v>
      </c>
      <c r="H41">
        <v>47.43</v>
      </c>
      <c r="I41" s="15">
        <f>VLOOKUP(Tabela3[[#This Row],[COD_ID]],Itens!A:E,5,0)</f>
        <v>220</v>
      </c>
      <c r="J41" s="15">
        <f>Tabela3[[#This Row],[Preço Unitário (R$)]]*Tabela3[[#This Row],[Quantidade]]</f>
        <v>10434.6</v>
      </c>
      <c r="K41" t="s">
        <v>184</v>
      </c>
    </row>
    <row r="42" spans="1:12" x14ac:dyDescent="0.25">
      <c r="A42" s="9">
        <v>45803</v>
      </c>
      <c r="B42" t="s">
        <v>213</v>
      </c>
      <c r="C42" t="s">
        <v>186</v>
      </c>
      <c r="D42" t="s">
        <v>25</v>
      </c>
      <c r="E42" t="str">
        <f>IFERROR(VLOOKUP(D42,Itens!$A$2:$E$51,2,FALSE),"")</f>
        <v>Fluensulfona 480 EC</v>
      </c>
      <c r="F42" t="str">
        <f>IFERROR(VLOOKUP(D42,Itens!$A$2:$E$51,4,FALSE),"")</f>
        <v>Nematicida</v>
      </c>
      <c r="G42" t="str">
        <f>IFERROR(VLOOKUP(D42,Itens!$A$2:$E$51,3,FALSE),"")</f>
        <v>L</v>
      </c>
      <c r="H42">
        <v>31.78</v>
      </c>
      <c r="I42" s="15">
        <f>VLOOKUP(Tabela3[[#This Row],[COD_ID]],Itens!A:E,5,0)</f>
        <v>500</v>
      </c>
      <c r="J42" s="15">
        <f>Tabela3[[#This Row],[Preço Unitário (R$)]]*Tabela3[[#This Row],[Quantidade]]</f>
        <v>15890</v>
      </c>
      <c r="K42" t="s">
        <v>174</v>
      </c>
      <c r="L42" t="s">
        <v>159</v>
      </c>
    </row>
    <row r="43" spans="1:12" x14ac:dyDescent="0.25">
      <c r="A43" s="9">
        <v>45809</v>
      </c>
      <c r="B43" t="s">
        <v>214</v>
      </c>
      <c r="C43" t="s">
        <v>173</v>
      </c>
      <c r="D43" t="s">
        <v>62</v>
      </c>
      <c r="E43" t="str">
        <f>IFERROR(VLOOKUP(D43,Itens!$A$2:$E$51,2,FALSE),"")</f>
        <v>Fonte de Cálcio – Nitrato de cálcio</v>
      </c>
      <c r="F43" t="str">
        <f>IFERROR(VLOOKUP(D43,Itens!$A$2:$E$51,4,FALSE),"")</f>
        <v>Cálcio</v>
      </c>
      <c r="G43" t="str">
        <f>IFERROR(VLOOKUP(D43,Itens!$A$2:$E$51,3,FALSE),"")</f>
        <v>kg</v>
      </c>
      <c r="H43">
        <v>2.73</v>
      </c>
      <c r="I43" s="15">
        <f>VLOOKUP(Tabela3[[#This Row],[COD_ID]],Itens!A:E,5,0)</f>
        <v>5.5</v>
      </c>
      <c r="J43" s="15">
        <f>Tabela3[[#This Row],[Preço Unitário (R$)]]*Tabela3[[#This Row],[Quantidade]]</f>
        <v>15.015000000000001</v>
      </c>
      <c r="K43" t="s">
        <v>155</v>
      </c>
      <c r="L43" t="s">
        <v>171</v>
      </c>
    </row>
    <row r="44" spans="1:12" x14ac:dyDescent="0.25">
      <c r="A44" s="9">
        <v>45812</v>
      </c>
      <c r="B44" t="s">
        <v>215</v>
      </c>
      <c r="C44" t="s">
        <v>176</v>
      </c>
      <c r="D44" t="s">
        <v>83</v>
      </c>
      <c r="E44" t="str">
        <f>IFERROR(VLOOKUP(D44,Itens!$A$2:$E$51,2,FALSE),"")</f>
        <v>Espalhante adesivo não iônico</v>
      </c>
      <c r="F44" t="str">
        <f>IFERROR(VLOOKUP(D44,Itens!$A$2:$E$51,4,FALSE),"")</f>
        <v>Adjuvante</v>
      </c>
      <c r="G44" t="str">
        <f>IFERROR(VLOOKUP(D44,Itens!$A$2:$E$51,3,FALSE),"")</f>
        <v>L</v>
      </c>
      <c r="H44">
        <v>58.64</v>
      </c>
      <c r="I44" s="15">
        <f>VLOOKUP(Tabela3[[#This Row],[COD_ID]],Itens!A:E,5,0)</f>
        <v>35</v>
      </c>
      <c r="J44" s="15">
        <f>Tabela3[[#This Row],[Preço Unitário (R$)]]*Tabela3[[#This Row],[Quantidade]]</f>
        <v>2052.4</v>
      </c>
      <c r="K44" t="s">
        <v>184</v>
      </c>
      <c r="L44" t="s">
        <v>171</v>
      </c>
    </row>
    <row r="45" spans="1:12" x14ac:dyDescent="0.25">
      <c r="A45" s="9">
        <v>45813</v>
      </c>
      <c r="B45" t="s">
        <v>216</v>
      </c>
      <c r="C45" t="s">
        <v>168</v>
      </c>
      <c r="D45" t="s">
        <v>20</v>
      </c>
      <c r="E45" t="str">
        <f>IFERROR(VLOOKUP(D45,Itens!$A$2:$E$51,2,FALSE),"")</f>
        <v>Tiametoxam 250 WG</v>
      </c>
      <c r="F45" t="str">
        <f>IFERROR(VLOOKUP(D45,Itens!$A$2:$E$51,4,FALSE),"")</f>
        <v>Inseticida</v>
      </c>
      <c r="G45" t="str">
        <f>IFERROR(VLOOKUP(D45,Itens!$A$2:$E$51,3,FALSE),"")</f>
        <v>kg</v>
      </c>
      <c r="H45">
        <v>3.59</v>
      </c>
      <c r="I45" s="15">
        <f>VLOOKUP(Tabela3[[#This Row],[COD_ID]],Itens!A:E,5,0)</f>
        <v>400</v>
      </c>
      <c r="J45" s="15">
        <f>Tabela3[[#This Row],[Preço Unitário (R$)]]*Tabela3[[#This Row],[Quantidade]]</f>
        <v>1436</v>
      </c>
      <c r="K45" t="s">
        <v>184</v>
      </c>
      <c r="L45" t="s">
        <v>159</v>
      </c>
    </row>
    <row r="46" spans="1:12" x14ac:dyDescent="0.25">
      <c r="A46" s="9">
        <v>45817</v>
      </c>
      <c r="B46" t="s">
        <v>217</v>
      </c>
      <c r="C46" t="s">
        <v>157</v>
      </c>
      <c r="D46" t="s">
        <v>27</v>
      </c>
      <c r="E46" t="str">
        <f>IFERROR(VLOOKUP(D46,Itens!$A$2:$E$51,2,FALSE),"")</f>
        <v>Abamectina 18 EC</v>
      </c>
      <c r="F46" t="str">
        <f>IFERROR(VLOOKUP(D46,Itens!$A$2:$E$51,4,FALSE),"")</f>
        <v>Nematicida</v>
      </c>
      <c r="G46" t="str">
        <f>IFERROR(VLOOKUP(D46,Itens!$A$2:$E$51,3,FALSE),"")</f>
        <v>L</v>
      </c>
      <c r="H46">
        <v>73.12</v>
      </c>
      <c r="I46" s="15">
        <f>VLOOKUP(Tabela3[[#This Row],[COD_ID]],Itens!A:E,5,0)</f>
        <v>220</v>
      </c>
      <c r="J46" s="15">
        <f>Tabela3[[#This Row],[Preço Unitário (R$)]]*Tabela3[[#This Row],[Quantidade]]</f>
        <v>16086.400000000001</v>
      </c>
      <c r="K46" t="s">
        <v>169</v>
      </c>
      <c r="L46" t="s">
        <v>171</v>
      </c>
    </row>
    <row r="47" spans="1:12" x14ac:dyDescent="0.25">
      <c r="A47" s="9">
        <v>45847</v>
      </c>
      <c r="B47" t="s">
        <v>218</v>
      </c>
      <c r="C47" t="s">
        <v>168</v>
      </c>
      <c r="D47" t="s">
        <v>9</v>
      </c>
      <c r="E47" t="str">
        <f>IFERROR(VLOOKUP(D47,Itens!$A$2:$E$51,2,FALSE),"")</f>
        <v>Hexazinona 250 SC</v>
      </c>
      <c r="F47" t="str">
        <f>IFERROR(VLOOKUP(D47,Itens!$A$2:$E$51,4,FALSE),"")</f>
        <v>Herbicida</v>
      </c>
      <c r="G47" t="str">
        <f>IFERROR(VLOOKUP(D47,Itens!$A$2:$E$51,3,FALSE),"")</f>
        <v>L</v>
      </c>
      <c r="H47">
        <v>29.72</v>
      </c>
      <c r="I47" s="15">
        <f>VLOOKUP(Tabela3[[#This Row],[COD_ID]],Itens!A:E,5,0)</f>
        <v>110</v>
      </c>
      <c r="J47" s="15">
        <f>Tabela3[[#This Row],[Preço Unitário (R$)]]*Tabela3[[#This Row],[Quantidade]]</f>
        <v>3269.2</v>
      </c>
      <c r="K47" t="s">
        <v>169</v>
      </c>
      <c r="L47" t="s">
        <v>159</v>
      </c>
    </row>
    <row r="48" spans="1:12" x14ac:dyDescent="0.25">
      <c r="A48" s="9">
        <v>45851</v>
      </c>
      <c r="B48" t="s">
        <v>219</v>
      </c>
      <c r="C48" t="s">
        <v>186</v>
      </c>
      <c r="D48" t="s">
        <v>81</v>
      </c>
      <c r="E48" t="str">
        <f>IFERROR(VLOOKUP(D48,Itens!$A$2:$E$51,2,FALSE),"")</f>
        <v>Óleo mineral emulsionável</v>
      </c>
      <c r="F48" t="str">
        <f>IFERROR(VLOOKUP(D48,Itens!$A$2:$E$51,4,FALSE),"")</f>
        <v>Adjuvante</v>
      </c>
      <c r="G48" t="str">
        <f>IFERROR(VLOOKUP(D48,Itens!$A$2:$E$51,3,FALSE),"")</f>
        <v>L</v>
      </c>
      <c r="H48">
        <v>22.58</v>
      </c>
      <c r="I48" s="15">
        <f>VLOOKUP(Tabela3[[#This Row],[COD_ID]],Itens!A:E,5,0)</f>
        <v>20</v>
      </c>
      <c r="J48" s="15">
        <f>Tabela3[[#This Row],[Preço Unitário (R$)]]*Tabela3[[#This Row],[Quantidade]]</f>
        <v>451.59999999999997</v>
      </c>
      <c r="K48" t="s">
        <v>166</v>
      </c>
    </row>
    <row r="49" spans="1:12" x14ac:dyDescent="0.25">
      <c r="A49" s="9">
        <v>45863</v>
      </c>
      <c r="B49" t="s">
        <v>220</v>
      </c>
      <c r="C49" t="s">
        <v>186</v>
      </c>
      <c r="D49" t="s">
        <v>47</v>
      </c>
      <c r="E49" t="str">
        <f>IFERROR(VLOOKUP(D49,Itens!$A$2:$E$51,2,FALSE),"")</f>
        <v>NPK 08-28-16</v>
      </c>
      <c r="F49" t="str">
        <f>IFERROR(VLOOKUP(D49,Itens!$A$2:$E$51,4,FALSE),"")</f>
        <v>Fertilizante (NPK)</v>
      </c>
      <c r="G49" t="str">
        <f>IFERROR(VLOOKUP(D49,Itens!$A$2:$E$51,3,FALSE),"")</f>
        <v>kg</v>
      </c>
      <c r="H49">
        <v>1070</v>
      </c>
      <c r="I49" s="15">
        <f>VLOOKUP(Tabela3[[#This Row],[COD_ID]],Itens!A:E,5,0)</f>
        <v>4.2</v>
      </c>
      <c r="J49" s="15">
        <f>Tabela3[[#This Row],[Preço Unitário (R$)]]*Tabela3[[#This Row],[Quantidade]]</f>
        <v>4494</v>
      </c>
      <c r="K49" t="s">
        <v>158</v>
      </c>
      <c r="L49" t="s">
        <v>171</v>
      </c>
    </row>
    <row r="50" spans="1:12" x14ac:dyDescent="0.25">
      <c r="A50" s="9">
        <v>45865</v>
      </c>
      <c r="B50" t="s">
        <v>221</v>
      </c>
      <c r="C50" t="s">
        <v>168</v>
      </c>
      <c r="D50" t="s">
        <v>13</v>
      </c>
      <c r="E50" t="str">
        <f>IFERROR(VLOOKUP(D50,Itens!$A$2:$E$51,2,FALSE),"")</f>
        <v xml:space="preserve"> Imazapic 700 WG</v>
      </c>
      <c r="F50" t="str">
        <f>IFERROR(VLOOKUP(D50,Itens!$A$2:$E$51,4,FALSE),"")</f>
        <v>Herbicida</v>
      </c>
      <c r="G50" t="str">
        <f>IFERROR(VLOOKUP(D50,Itens!$A$2:$E$51,3,FALSE),"")</f>
        <v>kg</v>
      </c>
      <c r="H50">
        <v>26.03</v>
      </c>
      <c r="I50" s="15">
        <f>VLOOKUP(Tabela3[[#This Row],[COD_ID]],Itens!A:E,5,0)</f>
        <v>320</v>
      </c>
      <c r="J50" s="15">
        <f>Tabela3[[#This Row],[Preço Unitário (R$)]]*Tabela3[[#This Row],[Quantidade]]</f>
        <v>8329.6</v>
      </c>
      <c r="K50" t="s">
        <v>155</v>
      </c>
      <c r="L50" t="s">
        <v>159</v>
      </c>
    </row>
    <row r="51" spans="1:12" x14ac:dyDescent="0.25">
      <c r="A51" s="9">
        <v>45867</v>
      </c>
      <c r="B51" t="s">
        <v>222</v>
      </c>
      <c r="C51" t="s">
        <v>186</v>
      </c>
      <c r="D51" t="s">
        <v>28</v>
      </c>
      <c r="E51" t="str">
        <f>IFERROR(VLOOKUP(D51,Itens!$A$2:$E$51,2,FALSE),"")</f>
        <v>Bacillus firmus</v>
      </c>
      <c r="F51" t="str">
        <f>IFERROR(VLOOKUP(D51,Itens!$A$2:$E$51,4,FALSE),"")</f>
        <v>Nematicida</v>
      </c>
      <c r="G51" t="str">
        <f>IFERROR(VLOOKUP(D51,Itens!$A$2:$E$51,3,FALSE),"")</f>
        <v>kg</v>
      </c>
      <c r="H51">
        <v>9.9700000000000006</v>
      </c>
      <c r="I51" s="15">
        <f>VLOOKUP(Tabela3[[#This Row],[COD_ID]],Itens!A:E,5,0)</f>
        <v>180</v>
      </c>
      <c r="J51" s="15">
        <f>Tabela3[[#This Row],[Preço Unitário (R$)]]*Tabela3[[#This Row],[Quantidade]]</f>
        <v>1794.6000000000001</v>
      </c>
      <c r="K51" t="s">
        <v>155</v>
      </c>
      <c r="L51" t="s">
        <v>159</v>
      </c>
    </row>
    <row r="52" spans="1:12" x14ac:dyDescent="0.25">
      <c r="A52" s="9">
        <v>45872</v>
      </c>
      <c r="B52" t="s">
        <v>223</v>
      </c>
      <c r="C52" t="s">
        <v>183</v>
      </c>
      <c r="D52" t="s">
        <v>47</v>
      </c>
      <c r="E52" t="str">
        <f>IFERROR(VLOOKUP(D52,Itens!$A$2:$E$51,2,FALSE),"")</f>
        <v>NPK 08-28-16</v>
      </c>
      <c r="F52" t="str">
        <f>IFERROR(VLOOKUP(D52,Itens!$A$2:$E$51,4,FALSE),"")</f>
        <v>Fertilizante (NPK)</v>
      </c>
      <c r="G52" t="str">
        <f>IFERROR(VLOOKUP(D52,Itens!$A$2:$E$51,3,FALSE),"")</f>
        <v>kg</v>
      </c>
      <c r="H52">
        <v>1220</v>
      </c>
      <c r="I52" s="15">
        <f>VLOOKUP(Tabela3[[#This Row],[COD_ID]],Itens!A:E,5,0)</f>
        <v>4.2</v>
      </c>
      <c r="J52" s="15">
        <f>Tabela3[[#This Row],[Preço Unitário (R$)]]*Tabela3[[#This Row],[Quantidade]]</f>
        <v>5124</v>
      </c>
      <c r="K52" t="s">
        <v>158</v>
      </c>
    </row>
    <row r="53" spans="1:12" x14ac:dyDescent="0.25">
      <c r="A53" s="9">
        <v>45898</v>
      </c>
      <c r="B53" t="s">
        <v>224</v>
      </c>
      <c r="C53" t="s">
        <v>161</v>
      </c>
      <c r="D53" t="s">
        <v>44</v>
      </c>
      <c r="E53" t="str">
        <f>IFERROR(VLOOKUP(D53,Itens!$A$2:$E$51,2,FALSE),"")</f>
        <v>NPK 20-00-20</v>
      </c>
      <c r="F53" t="str">
        <f>IFERROR(VLOOKUP(D53,Itens!$A$2:$E$51,4,FALSE),"")</f>
        <v>Fertilizante (NPK)</v>
      </c>
      <c r="G53" t="str">
        <f>IFERROR(VLOOKUP(D53,Itens!$A$2:$E$51,3,FALSE),"")</f>
        <v>kg</v>
      </c>
      <c r="H53">
        <v>17580</v>
      </c>
      <c r="I53" s="15">
        <f>VLOOKUP(Tabela3[[#This Row],[COD_ID]],Itens!A:E,5,0)</f>
        <v>3.6</v>
      </c>
      <c r="J53" s="15">
        <f>Tabela3[[#This Row],[Preço Unitário (R$)]]*Tabela3[[#This Row],[Quantidade]]</f>
        <v>63288</v>
      </c>
      <c r="K53" t="s">
        <v>184</v>
      </c>
    </row>
    <row r="54" spans="1:12" x14ac:dyDescent="0.25">
      <c r="A54" s="9">
        <v>45904</v>
      </c>
      <c r="B54" t="s">
        <v>225</v>
      </c>
      <c r="C54" t="s">
        <v>161</v>
      </c>
      <c r="D54" t="s">
        <v>24</v>
      </c>
      <c r="E54" t="str">
        <f>IFERROR(VLOOKUP(D54,Itens!$A$2:$E$51,2,FALSE),"")</f>
        <v>Bacillus thuringiensis (Bt)</v>
      </c>
      <c r="F54" t="str">
        <f>IFERROR(VLOOKUP(D54,Itens!$A$2:$E$51,4,FALSE),"")</f>
        <v>Inseticida</v>
      </c>
      <c r="G54" t="str">
        <f>IFERROR(VLOOKUP(D54,Itens!$A$2:$E$51,3,FALSE),"")</f>
        <v>kg</v>
      </c>
      <c r="H54">
        <v>15.68</v>
      </c>
      <c r="I54" s="15">
        <f>VLOOKUP(Tabela3[[#This Row],[COD_ID]],Itens!A:E,5,0)</f>
        <v>180</v>
      </c>
      <c r="J54" s="15">
        <f>Tabela3[[#This Row],[Preço Unitário (R$)]]*Tabela3[[#This Row],[Quantidade]]</f>
        <v>2822.4</v>
      </c>
      <c r="K54" t="s">
        <v>174</v>
      </c>
      <c r="L54" t="s">
        <v>159</v>
      </c>
    </row>
    <row r="55" spans="1:12" x14ac:dyDescent="0.25">
      <c r="A55" s="9">
        <v>45905</v>
      </c>
      <c r="B55" t="s">
        <v>226</v>
      </c>
      <c r="C55" t="s">
        <v>154</v>
      </c>
      <c r="D55" t="s">
        <v>67</v>
      </c>
      <c r="E55" t="str">
        <f>IFERROR(VLOOKUP(D55,Itens!$A$2:$E$51,2,FALSE),"")</f>
        <v>Boro (B) granulado</v>
      </c>
      <c r="F55" t="str">
        <f>IFERROR(VLOOKUP(D55,Itens!$A$2:$E$51,4,FALSE),"")</f>
        <v>Micronutriente</v>
      </c>
      <c r="G55" t="str">
        <f>IFERROR(VLOOKUP(D55,Itens!$A$2:$E$51,3,FALSE),"")</f>
        <v>kg</v>
      </c>
      <c r="H55">
        <v>19.760000000000002</v>
      </c>
      <c r="I55" s="15">
        <f>VLOOKUP(Tabela3[[#This Row],[COD_ID]],Itens!A:E,5,0)</f>
        <v>12</v>
      </c>
      <c r="J55" s="15">
        <f>Tabela3[[#This Row],[Preço Unitário (R$)]]*Tabela3[[#This Row],[Quantidade]]</f>
        <v>237.12</v>
      </c>
      <c r="K55" t="s">
        <v>155</v>
      </c>
      <c r="L55" t="s">
        <v>162</v>
      </c>
    </row>
    <row r="56" spans="1:12" x14ac:dyDescent="0.25">
      <c r="A56" s="9">
        <v>45907</v>
      </c>
      <c r="B56" t="s">
        <v>227</v>
      </c>
      <c r="C56" t="s">
        <v>154</v>
      </c>
      <c r="D56" t="s">
        <v>7</v>
      </c>
      <c r="E56" t="str">
        <f>IFERROR(VLOOKUP(D56,Itens!$A$2:$E$51,2,FALSE),"")</f>
        <v>2,4-D (sal amina)</v>
      </c>
      <c r="F56" t="str">
        <f>IFERROR(VLOOKUP(D56,Itens!$A$2:$E$51,4,FALSE),"")</f>
        <v>Herbicida</v>
      </c>
      <c r="G56" t="str">
        <f>IFERROR(VLOOKUP(D56,Itens!$A$2:$E$51,3,FALSE),"")</f>
        <v>L</v>
      </c>
      <c r="H56">
        <v>112.52</v>
      </c>
      <c r="I56" s="15">
        <f>VLOOKUP(Tabela3[[#This Row],[COD_ID]],Itens!A:E,5,0)</f>
        <v>18</v>
      </c>
      <c r="J56" s="15">
        <f>Tabela3[[#This Row],[Preço Unitário (R$)]]*Tabela3[[#This Row],[Quantidade]]</f>
        <v>2025.36</v>
      </c>
      <c r="K56" t="s">
        <v>158</v>
      </c>
      <c r="L56" t="s">
        <v>162</v>
      </c>
    </row>
    <row r="57" spans="1:12" x14ac:dyDescent="0.25">
      <c r="A57" s="9">
        <v>45909</v>
      </c>
      <c r="B57" t="s">
        <v>228</v>
      </c>
      <c r="C57" t="s">
        <v>173</v>
      </c>
      <c r="D57" t="s">
        <v>32</v>
      </c>
      <c r="E57" t="str">
        <f>IFERROR(VLOOKUP(D57,Itens!$A$2:$E$51,2,FALSE),"")</f>
        <v>Sulfato de amônio 21% N + 24% S</v>
      </c>
      <c r="F57" t="str">
        <f>IFERROR(VLOOKUP(D57,Itens!$A$2:$E$51,4,FALSE),"")</f>
        <v>Fertilizante (N/S)</v>
      </c>
      <c r="G57" t="str">
        <f>IFERROR(VLOOKUP(D57,Itens!$A$2:$E$51,3,FALSE),"")</f>
        <v>kg</v>
      </c>
      <c r="H57">
        <v>9560</v>
      </c>
      <c r="I57" s="15">
        <f>VLOOKUP(Tabela3[[#This Row],[COD_ID]],Itens!A:E,5,0)</f>
        <v>1.8</v>
      </c>
      <c r="J57" s="15">
        <f>Tabela3[[#This Row],[Preço Unitário (R$)]]*Tabela3[[#This Row],[Quantidade]]</f>
        <v>17208</v>
      </c>
      <c r="K57" t="s">
        <v>169</v>
      </c>
    </row>
    <row r="58" spans="1:12" x14ac:dyDescent="0.25">
      <c r="A58" s="9">
        <v>45912</v>
      </c>
      <c r="B58" t="s">
        <v>229</v>
      </c>
      <c r="C58" t="s">
        <v>176</v>
      </c>
      <c r="D58" t="s">
        <v>72</v>
      </c>
      <c r="E58" t="str">
        <f>IFERROR(VLOOKUP(D58,Itens!$A$2:$E$51,2,FALSE),"")</f>
        <v>Mistura de micronutrientes (B+Zn+Mn+Cu)</v>
      </c>
      <c r="F58" t="str">
        <f>IFERROR(VLOOKUP(D58,Itens!$A$2:$E$51,4,FALSE),"")</f>
        <v>Micronutriente</v>
      </c>
      <c r="G58" t="str">
        <f>IFERROR(VLOOKUP(D58,Itens!$A$2:$E$51,3,FALSE),"")</f>
        <v>kg</v>
      </c>
      <c r="H58">
        <v>27.02</v>
      </c>
      <c r="I58" s="15">
        <f>VLOOKUP(Tabela3[[#This Row],[COD_ID]],Itens!A:E,5,0)</f>
        <v>18</v>
      </c>
      <c r="J58" s="15">
        <f>Tabela3[[#This Row],[Preço Unitário (R$)]]*Tabela3[[#This Row],[Quantidade]]</f>
        <v>486.36</v>
      </c>
      <c r="K58" t="s">
        <v>174</v>
      </c>
      <c r="L58" t="s">
        <v>171</v>
      </c>
    </row>
    <row r="59" spans="1:12" x14ac:dyDescent="0.25">
      <c r="A59" s="9">
        <v>45920</v>
      </c>
      <c r="B59" t="s">
        <v>230</v>
      </c>
      <c r="C59" t="s">
        <v>168</v>
      </c>
      <c r="D59" t="s">
        <v>22</v>
      </c>
      <c r="E59" t="str">
        <f>IFERROR(VLOOKUP(D59,Itens!$A$2:$E$51,2,FALSE),"")</f>
        <v xml:space="preserve"> Lambda-cialotrina 50 EC</v>
      </c>
      <c r="F59" t="str">
        <f>IFERROR(VLOOKUP(D59,Itens!$A$2:$E$51,4,FALSE),"")</f>
        <v>Inseticida</v>
      </c>
      <c r="G59" t="str">
        <f>IFERROR(VLOOKUP(D59,Itens!$A$2:$E$51,3,FALSE),"")</f>
        <v>L</v>
      </c>
      <c r="H59">
        <v>22.25</v>
      </c>
      <c r="I59" s="15">
        <f>VLOOKUP(Tabela3[[#This Row],[COD_ID]],Itens!A:E,5,0)</f>
        <v>90</v>
      </c>
      <c r="J59" s="15">
        <f>Tabela3[[#This Row],[Preço Unitário (R$)]]*Tabela3[[#This Row],[Quantidade]]</f>
        <v>2002.5</v>
      </c>
      <c r="K59" t="s">
        <v>166</v>
      </c>
    </row>
    <row r="60" spans="1:12" x14ac:dyDescent="0.25">
      <c r="A60" s="9">
        <v>45941</v>
      </c>
      <c r="B60" t="s">
        <v>231</v>
      </c>
      <c r="C60" t="s">
        <v>178</v>
      </c>
      <c r="D60" t="s">
        <v>35</v>
      </c>
      <c r="E60" t="str">
        <f>IFERROR(VLOOKUP(D60,Itens!$A$2:$E$51,2,FALSE),"")</f>
        <v>Cloreto de potássio (KCl) 60% K2O</v>
      </c>
      <c r="F60" t="str">
        <f>IFERROR(VLOOKUP(D60,Itens!$A$2:$E$51,4,FALSE),"")</f>
        <v>Fertilizante (K)</v>
      </c>
      <c r="G60" t="str">
        <f>IFERROR(VLOOKUP(D60,Itens!$A$2:$E$51,3,FALSE),"")</f>
        <v>kg</v>
      </c>
      <c r="H60">
        <v>4400</v>
      </c>
      <c r="I60" s="15">
        <f>VLOOKUP(Tabela3[[#This Row],[COD_ID]],Itens!A:E,5,0)</f>
        <v>3</v>
      </c>
      <c r="J60" s="15">
        <f>Tabela3[[#This Row],[Preço Unitário (R$)]]*Tabela3[[#This Row],[Quantidade]]</f>
        <v>13200</v>
      </c>
      <c r="K60" t="s">
        <v>155</v>
      </c>
    </row>
    <row r="61" spans="1:12" x14ac:dyDescent="0.25">
      <c r="A61" s="9">
        <v>45949</v>
      </c>
      <c r="B61" t="s">
        <v>232</v>
      </c>
      <c r="C61" t="s">
        <v>183</v>
      </c>
      <c r="D61" t="s">
        <v>76</v>
      </c>
      <c r="E61" t="str">
        <f>IFERROR(VLOOKUP(D61,Itens!$A$2:$E$51,2,FALSE),"")</f>
        <v>Bacillus spp. promotor de crescimento</v>
      </c>
      <c r="F61" t="str">
        <f>IFERROR(VLOOKUP(D61,Itens!$A$2:$E$51,4,FALSE),"")</f>
        <v>Inoculante</v>
      </c>
      <c r="G61" t="str">
        <f>IFERROR(VLOOKUP(D61,Itens!$A$2:$E$51,3,FALSE),"")</f>
        <v>kg</v>
      </c>
      <c r="H61">
        <v>25.83</v>
      </c>
      <c r="I61" s="15">
        <f>VLOOKUP(Tabela3[[#This Row],[COD_ID]],Itens!A:E,5,0)</f>
        <v>120</v>
      </c>
      <c r="J61" s="15">
        <f>Tabela3[[#This Row],[Preço Unitário (R$)]]*Tabela3[[#This Row],[Quantidade]]</f>
        <v>3099.6</v>
      </c>
      <c r="K61" t="s">
        <v>166</v>
      </c>
      <c r="L61" t="s">
        <v>164</v>
      </c>
    </row>
    <row r="62" spans="1:12" x14ac:dyDescent="0.25">
      <c r="A62" s="9">
        <v>45960</v>
      </c>
      <c r="B62" t="s">
        <v>233</v>
      </c>
      <c r="C62" t="s">
        <v>183</v>
      </c>
      <c r="D62" t="s">
        <v>27</v>
      </c>
      <c r="E62" t="str">
        <f>IFERROR(VLOOKUP(D62,Itens!$A$2:$E$51,2,FALSE),"")</f>
        <v>Abamectina 18 EC</v>
      </c>
      <c r="F62" t="str">
        <f>IFERROR(VLOOKUP(D62,Itens!$A$2:$E$51,4,FALSE),"")</f>
        <v>Nematicida</v>
      </c>
      <c r="G62" t="str">
        <f>IFERROR(VLOOKUP(D62,Itens!$A$2:$E$51,3,FALSE),"")</f>
        <v>L</v>
      </c>
      <c r="H62">
        <v>52.55</v>
      </c>
      <c r="I62" s="15">
        <f>VLOOKUP(Tabela3[[#This Row],[COD_ID]],Itens!A:E,5,0)</f>
        <v>220</v>
      </c>
      <c r="J62" s="15">
        <f>Tabela3[[#This Row],[Preço Unitário (R$)]]*Tabela3[[#This Row],[Quantidade]]</f>
        <v>11561</v>
      </c>
      <c r="K62" t="s">
        <v>158</v>
      </c>
      <c r="L62" t="s">
        <v>164</v>
      </c>
    </row>
    <row r="63" spans="1:12" x14ac:dyDescent="0.25">
      <c r="A63" s="9">
        <v>45961</v>
      </c>
      <c r="B63" t="s">
        <v>234</v>
      </c>
      <c r="C63" t="s">
        <v>186</v>
      </c>
      <c r="D63" t="s">
        <v>81</v>
      </c>
      <c r="E63" t="str">
        <f>IFERROR(VLOOKUP(D63,Itens!$A$2:$E$51,2,FALSE),"")</f>
        <v>Óleo mineral emulsionável</v>
      </c>
      <c r="F63" t="str">
        <f>IFERROR(VLOOKUP(D63,Itens!$A$2:$E$51,4,FALSE),"")</f>
        <v>Adjuvante</v>
      </c>
      <c r="G63" t="str">
        <f>IFERROR(VLOOKUP(D63,Itens!$A$2:$E$51,3,FALSE),"")</f>
        <v>L</v>
      </c>
      <c r="H63">
        <v>22.42</v>
      </c>
      <c r="I63" s="15">
        <f>VLOOKUP(Tabela3[[#This Row],[COD_ID]],Itens!A:E,5,0)</f>
        <v>20</v>
      </c>
      <c r="J63" s="15">
        <f>Tabela3[[#This Row],[Preço Unitário (R$)]]*Tabela3[[#This Row],[Quantidade]]</f>
        <v>448.40000000000003</v>
      </c>
      <c r="K63" t="s">
        <v>158</v>
      </c>
      <c r="L63" t="s">
        <v>162</v>
      </c>
    </row>
    <row r="64" spans="1:12" x14ac:dyDescent="0.25">
      <c r="A64" s="9">
        <v>45990</v>
      </c>
      <c r="B64" t="s">
        <v>235</v>
      </c>
      <c r="C64" t="s">
        <v>161</v>
      </c>
      <c r="D64" t="s">
        <v>37</v>
      </c>
      <c r="E64" t="str">
        <f>IFERROR(VLOOKUP(D64,Itens!$A$2:$E$51,2,FALSE),"")</f>
        <v>Sulfato de potássio 50% K2O</v>
      </c>
      <c r="F64" t="str">
        <f>IFERROR(VLOOKUP(D64,Itens!$A$2:$E$51,4,FALSE),"")</f>
        <v>Fertilizante (K/S)</v>
      </c>
      <c r="G64" t="str">
        <f>IFERROR(VLOOKUP(D64,Itens!$A$2:$E$51,3,FALSE),"")</f>
        <v>kg</v>
      </c>
      <c r="H64">
        <v>3880</v>
      </c>
      <c r="I64" s="15">
        <f>VLOOKUP(Tabela3[[#This Row],[COD_ID]],Itens!A:E,5,0)</f>
        <v>4.8</v>
      </c>
      <c r="J64" s="15">
        <f>Tabela3[[#This Row],[Preço Unitário (R$)]]*Tabela3[[#This Row],[Quantidade]]</f>
        <v>18624</v>
      </c>
      <c r="K64" t="s">
        <v>166</v>
      </c>
      <c r="L64" t="s">
        <v>164</v>
      </c>
    </row>
    <row r="65" spans="1:12" x14ac:dyDescent="0.25">
      <c r="A65" s="9">
        <v>45991</v>
      </c>
      <c r="B65" t="s">
        <v>236</v>
      </c>
      <c r="C65" t="s">
        <v>186</v>
      </c>
      <c r="D65" t="s">
        <v>7</v>
      </c>
      <c r="E65" t="str">
        <f>IFERROR(VLOOKUP(D65,Itens!$A$2:$E$51,2,FALSE),"")</f>
        <v>2,4-D (sal amina)</v>
      </c>
      <c r="F65" t="str">
        <f>IFERROR(VLOOKUP(D65,Itens!$A$2:$E$51,4,FALSE),"")</f>
        <v>Herbicida</v>
      </c>
      <c r="G65" t="str">
        <f>IFERROR(VLOOKUP(D65,Itens!$A$2:$E$51,3,FALSE),"")</f>
        <v>L</v>
      </c>
      <c r="H65">
        <v>54.26</v>
      </c>
      <c r="I65" s="15">
        <f>VLOOKUP(Tabela3[[#This Row],[COD_ID]],Itens!A:E,5,0)</f>
        <v>18</v>
      </c>
      <c r="J65" s="15">
        <f>Tabela3[[#This Row],[Preço Unitário (R$)]]*Tabela3[[#This Row],[Quantidade]]</f>
        <v>976.68</v>
      </c>
      <c r="K65" t="s">
        <v>158</v>
      </c>
      <c r="L65" t="s">
        <v>162</v>
      </c>
    </row>
    <row r="66" spans="1:12" x14ac:dyDescent="0.25">
      <c r="A66" s="9">
        <v>45997</v>
      </c>
      <c r="B66" t="s">
        <v>237</v>
      </c>
      <c r="C66" t="s">
        <v>186</v>
      </c>
      <c r="D66" t="s">
        <v>25</v>
      </c>
      <c r="E66" t="str">
        <f>IFERROR(VLOOKUP(D66,Itens!$A$2:$E$51,2,FALSE),"")</f>
        <v>Fluensulfona 480 EC</v>
      </c>
      <c r="F66" t="str">
        <f>IFERROR(VLOOKUP(D66,Itens!$A$2:$E$51,4,FALSE),"")</f>
        <v>Nematicida</v>
      </c>
      <c r="G66" t="str">
        <f>IFERROR(VLOOKUP(D66,Itens!$A$2:$E$51,3,FALSE),"")</f>
        <v>L</v>
      </c>
      <c r="H66">
        <v>51.29</v>
      </c>
      <c r="I66" s="15">
        <f>VLOOKUP(Tabela3[[#This Row],[COD_ID]],Itens!A:E,5,0)</f>
        <v>500</v>
      </c>
      <c r="J66" s="15">
        <f>Tabela3[[#This Row],[Preço Unitário (R$)]]*Tabela3[[#This Row],[Quantidade]]</f>
        <v>25645</v>
      </c>
      <c r="K66" t="s">
        <v>174</v>
      </c>
      <c r="L66" t="s">
        <v>159</v>
      </c>
    </row>
    <row r="67" spans="1:12" x14ac:dyDescent="0.25">
      <c r="A67" s="9">
        <v>46007</v>
      </c>
      <c r="B67" t="s">
        <v>238</v>
      </c>
      <c r="C67" t="s">
        <v>186</v>
      </c>
      <c r="D67" t="s">
        <v>39</v>
      </c>
      <c r="E67" t="str">
        <f>IFERROR(VLOOKUP(D67,Itens!$A$2:$E$51,2,FALSE),"")</f>
        <v>MAP (Monoamônio Fosfato) 11-52-0</v>
      </c>
      <c r="F67" t="str">
        <f>IFERROR(VLOOKUP(D67,Itens!$A$2:$E$51,4,FALSE),"")</f>
        <v>Fosfatado</v>
      </c>
      <c r="G67" t="str">
        <f>IFERROR(VLOOKUP(D67,Itens!$A$2:$E$51,3,FALSE),"")</f>
        <v>kg</v>
      </c>
      <c r="H67">
        <v>340</v>
      </c>
      <c r="I67" s="15">
        <f>VLOOKUP(Tabela3[[#This Row],[COD_ID]],Itens!A:E,5,0)</f>
        <v>4.2</v>
      </c>
      <c r="J67" s="15">
        <f>Tabela3[[#This Row],[Preço Unitário (R$)]]*Tabela3[[#This Row],[Quantidade]]</f>
        <v>1428</v>
      </c>
      <c r="K67" t="s">
        <v>184</v>
      </c>
      <c r="L67" t="s">
        <v>164</v>
      </c>
    </row>
    <row r="68" spans="1:12" x14ac:dyDescent="0.25">
      <c r="A68" s="9">
        <v>46025</v>
      </c>
      <c r="B68" t="s">
        <v>239</v>
      </c>
      <c r="C68" t="s">
        <v>181</v>
      </c>
      <c r="D68" t="s">
        <v>52</v>
      </c>
      <c r="E68" t="str">
        <f>IFERROR(VLOOKUP(D68,Itens!$A$2:$E$51,2,FALSE),"")</f>
        <v>Calcário calcítico (PRNT alto)</v>
      </c>
      <c r="F68" t="str">
        <f>IFERROR(VLOOKUP(D68,Itens!$A$2:$E$51,4,FALSE),"")</f>
        <v>Corretivo (Calcário)</v>
      </c>
      <c r="G68" t="str">
        <f>IFERROR(VLOOKUP(D68,Itens!$A$2:$E$51,3,FALSE),"")</f>
        <v>t</v>
      </c>
      <c r="H68">
        <v>80</v>
      </c>
      <c r="I68" s="15">
        <f>VLOOKUP(Tabela3[[#This Row],[COD_ID]],Itens!A:E,5,0)</f>
        <v>160</v>
      </c>
      <c r="J68" s="15">
        <f>Tabela3[[#This Row],[Preço Unitário (R$)]]*Tabela3[[#This Row],[Quantidade]]</f>
        <v>12800</v>
      </c>
      <c r="K68" t="s">
        <v>169</v>
      </c>
      <c r="L68" t="s">
        <v>164</v>
      </c>
    </row>
    <row r="69" spans="1:12" x14ac:dyDescent="0.25">
      <c r="A69" s="9">
        <v>46025</v>
      </c>
      <c r="B69" t="s">
        <v>240</v>
      </c>
      <c r="C69" t="s">
        <v>186</v>
      </c>
      <c r="D69" t="s">
        <v>74</v>
      </c>
      <c r="E69" t="str">
        <f>IFERROR(VLOOKUP(D69,Itens!$A$2:$E$51,2,FALSE),"")</f>
        <v>Azospirillum brasilense (líquido)</v>
      </c>
      <c r="F69" t="str">
        <f>IFERROR(VLOOKUP(D69,Itens!$A$2:$E$51,4,FALSE),"")</f>
        <v>Inoculante</v>
      </c>
      <c r="G69" t="str">
        <f>IFERROR(VLOOKUP(D69,Itens!$A$2:$E$51,3,FALSE),"")</f>
        <v>L</v>
      </c>
      <c r="H69">
        <v>18.510000000000002</v>
      </c>
      <c r="I69" s="15">
        <f>VLOOKUP(Tabela3[[#This Row],[COD_ID]],Itens!A:E,5,0)</f>
        <v>45</v>
      </c>
      <c r="J69" s="15">
        <f>Tabela3[[#This Row],[Preço Unitário (R$)]]*Tabela3[[#This Row],[Quantidade]]</f>
        <v>832.95</v>
      </c>
      <c r="K69" t="s">
        <v>155</v>
      </c>
      <c r="L69" t="s">
        <v>164</v>
      </c>
    </row>
    <row r="70" spans="1:12" x14ac:dyDescent="0.25">
      <c r="A70" s="9">
        <v>46026</v>
      </c>
      <c r="B70" t="s">
        <v>241</v>
      </c>
      <c r="C70" t="s">
        <v>168</v>
      </c>
      <c r="D70" t="s">
        <v>67</v>
      </c>
      <c r="E70" t="str">
        <f>IFERROR(VLOOKUP(D70,Itens!$A$2:$E$51,2,FALSE),"")</f>
        <v>Boro (B) granulado</v>
      </c>
      <c r="F70" t="str">
        <f>IFERROR(VLOOKUP(D70,Itens!$A$2:$E$51,4,FALSE),"")</f>
        <v>Micronutriente</v>
      </c>
      <c r="G70" t="str">
        <f>IFERROR(VLOOKUP(D70,Itens!$A$2:$E$51,3,FALSE),"")</f>
        <v>kg</v>
      </c>
      <c r="H70">
        <v>19.73</v>
      </c>
      <c r="I70" s="15">
        <f>VLOOKUP(Tabela3[[#This Row],[COD_ID]],Itens!A:E,5,0)</f>
        <v>12</v>
      </c>
      <c r="J70" s="15">
        <f>Tabela3[[#This Row],[Preço Unitário (R$)]]*Tabela3[[#This Row],[Quantidade]]</f>
        <v>236.76</v>
      </c>
      <c r="K70" t="s">
        <v>184</v>
      </c>
      <c r="L70" t="s">
        <v>159</v>
      </c>
    </row>
    <row r="71" spans="1:12" x14ac:dyDescent="0.25">
      <c r="A71" s="9">
        <v>46039</v>
      </c>
      <c r="B71" t="s">
        <v>242</v>
      </c>
      <c r="C71" t="s">
        <v>178</v>
      </c>
      <c r="D71" t="s">
        <v>9</v>
      </c>
      <c r="E71" t="str">
        <f>IFERROR(VLOOKUP(D71,Itens!$A$2:$E$51,2,FALSE),"")</f>
        <v>Hexazinona 250 SC</v>
      </c>
      <c r="F71" t="str">
        <f>IFERROR(VLOOKUP(D71,Itens!$A$2:$E$51,4,FALSE),"")</f>
        <v>Herbicida</v>
      </c>
      <c r="G71" t="str">
        <f>IFERROR(VLOOKUP(D71,Itens!$A$2:$E$51,3,FALSE),"")</f>
        <v>L</v>
      </c>
      <c r="H71">
        <v>34.89</v>
      </c>
      <c r="I71" s="15">
        <f>VLOOKUP(Tabela3[[#This Row],[COD_ID]],Itens!A:E,5,0)</f>
        <v>110</v>
      </c>
      <c r="J71" s="15">
        <f>Tabela3[[#This Row],[Preço Unitário (R$)]]*Tabela3[[#This Row],[Quantidade]]</f>
        <v>3837.9</v>
      </c>
      <c r="K71" t="s">
        <v>158</v>
      </c>
      <c r="L71" t="s">
        <v>171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Itens!$A$2:$A$51</xm:f>
          </x14:formula1>
          <xm:sqref>D2:D71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1"/>
  <sheetViews>
    <sheetView showGridLines="0" tabSelected="1" workbookViewId="0">
      <pane ySplit="1" topLeftCell="A2" activePane="bottomLeft" state="frozen"/>
      <selection pane="bottomLeft" activeCell="K20" sqref="K20"/>
    </sheetView>
  </sheetViews>
  <sheetFormatPr defaultRowHeight="15" x14ac:dyDescent="0.25"/>
  <cols>
    <col min="1" max="1" width="12.7109375" bestFit="1" customWidth="1"/>
    <col min="2" max="2" width="13.85546875" customWidth="1"/>
    <col min="3" max="3" width="21.5703125" bestFit="1" customWidth="1"/>
    <col min="4" max="4" width="13.5703125" bestFit="1" customWidth="1"/>
    <col min="5" max="5" width="47.28515625" bestFit="1" customWidth="1"/>
    <col min="6" max="6" width="18.42578125" bestFit="1" customWidth="1"/>
    <col min="7" max="7" width="10.5703125" customWidth="1"/>
    <col min="8" max="8" width="14.140625" customWidth="1"/>
    <col min="9" max="9" width="16.140625" customWidth="1"/>
    <col min="10" max="10" width="14.5703125" customWidth="1"/>
    <col min="11" max="11" width="18.28515625" style="16" bestFit="1" customWidth="1"/>
    <col min="12" max="12" width="19.7109375" customWidth="1"/>
    <col min="13" max="13" width="18.42578125" customWidth="1"/>
    <col min="14" max="14" width="17.85546875" style="9" customWidth="1"/>
    <col min="15" max="16" width="16.42578125" customWidth="1"/>
  </cols>
  <sheetData>
    <row r="1" spans="1:15" ht="20.100000000000001" customHeight="1" x14ac:dyDescent="0.25">
      <c r="A1" s="8" t="s">
        <v>251</v>
      </c>
      <c r="B1" s="8" t="s">
        <v>252</v>
      </c>
      <c r="C1" s="8" t="s">
        <v>86</v>
      </c>
      <c r="D1" s="8" t="s">
        <v>320</v>
      </c>
      <c r="E1" s="8" t="s">
        <v>0</v>
      </c>
      <c r="F1" s="8" t="s">
        <v>2</v>
      </c>
      <c r="G1" s="8" t="s">
        <v>1</v>
      </c>
      <c r="H1" s="8" t="s">
        <v>253</v>
      </c>
      <c r="I1" s="8" t="s">
        <v>254</v>
      </c>
      <c r="J1" s="8" t="s">
        <v>255</v>
      </c>
      <c r="K1" s="28" t="s">
        <v>321</v>
      </c>
      <c r="L1" s="8" t="s">
        <v>88</v>
      </c>
      <c r="M1" s="8" t="s">
        <v>256</v>
      </c>
      <c r="N1" s="13" t="s">
        <v>257</v>
      </c>
      <c r="O1" s="8" t="s">
        <v>258</v>
      </c>
    </row>
    <row r="2" spans="1:15" x14ac:dyDescent="0.25">
      <c r="A2" t="s">
        <v>259</v>
      </c>
      <c r="B2">
        <v>46010</v>
      </c>
      <c r="C2" t="s">
        <v>104</v>
      </c>
      <c r="D2" t="s">
        <v>25</v>
      </c>
      <c r="E2" t="str">
        <f>IFERROR(VLOOKUP(D2,Itens!$A$2:$E$51,2,FALSE),"")</f>
        <v>Fluensulfona 480 EC</v>
      </c>
      <c r="F2" t="str">
        <f>IFERROR(VLOOKUP(D2,Itens!$A$2:$E$51,4,FALSE),"")</f>
        <v>Nematicida</v>
      </c>
      <c r="G2" t="str">
        <f>IFERROR(VLOOKUP(D2,Itens!$A$2:$E$51,3,FALSE),"")</f>
        <v>L</v>
      </c>
      <c r="H2">
        <v>80</v>
      </c>
      <c r="I2">
        <v>21.57</v>
      </c>
      <c r="J2">
        <f t="shared" ref="J2:J33" si="0">IF(H2="","",MAX(0,H2-IF(I2="",0,I2)))</f>
        <v>58.43</v>
      </c>
      <c r="K2" s="16">
        <f>Tabela5[[#This Row],[Qtde Recebida]]/Tabela5[[#This Row],[Qtde Pedida]]</f>
        <v>0.269625</v>
      </c>
      <c r="L2">
        <v>537.36</v>
      </c>
      <c r="M2">
        <f t="shared" ref="M2:M33" si="1">IF(OR(J2="",L2=""),"",J2*L2)</f>
        <v>31397.944800000001</v>
      </c>
      <c r="N2" s="9">
        <v>46046</v>
      </c>
      <c r="O2" t="s">
        <v>260</v>
      </c>
    </row>
    <row r="3" spans="1:15" x14ac:dyDescent="0.25">
      <c r="A3" t="s">
        <v>261</v>
      </c>
      <c r="B3">
        <v>46012</v>
      </c>
      <c r="C3" t="s">
        <v>92</v>
      </c>
      <c r="D3" t="s">
        <v>76</v>
      </c>
      <c r="E3" t="str">
        <f>IFERROR(VLOOKUP(D3,Itens!$A$2:$E$51,2,FALSE),"")</f>
        <v>Bacillus spp. promotor de crescimento</v>
      </c>
      <c r="F3" t="str">
        <f>IFERROR(VLOOKUP(D3,Itens!$A$2:$E$51,4,FALSE),"")</f>
        <v>Inoculante</v>
      </c>
      <c r="G3" t="str">
        <f>IFERROR(VLOOKUP(D3,Itens!$A$2:$E$51,3,FALSE),"")</f>
        <v>kg</v>
      </c>
      <c r="H3">
        <v>20</v>
      </c>
      <c r="I3">
        <v>0</v>
      </c>
      <c r="J3">
        <f t="shared" si="0"/>
        <v>20</v>
      </c>
      <c r="K3" s="16">
        <f>Tabela5[[#This Row],[Qtde Recebida]]/Tabela5[[#This Row],[Qtde Pedida]]</f>
        <v>0</v>
      </c>
      <c r="L3">
        <v>119.82</v>
      </c>
      <c r="M3">
        <f t="shared" si="1"/>
        <v>2396.3999999999996</v>
      </c>
      <c r="N3" s="9">
        <v>46073</v>
      </c>
      <c r="O3" t="s">
        <v>262</v>
      </c>
    </row>
    <row r="4" spans="1:15" x14ac:dyDescent="0.25">
      <c r="A4" t="s">
        <v>263</v>
      </c>
      <c r="B4">
        <v>46016</v>
      </c>
      <c r="C4" t="s">
        <v>104</v>
      </c>
      <c r="D4" t="s">
        <v>15</v>
      </c>
      <c r="E4" t="str">
        <f>IFERROR(VLOOKUP(D4,Itens!$A$2:$E$51,2,FALSE),"")</f>
        <v>Metolacloro 960 EC</v>
      </c>
      <c r="F4" t="str">
        <f>IFERROR(VLOOKUP(D4,Itens!$A$2:$E$51,4,FALSE),"")</f>
        <v>Herbicida</v>
      </c>
      <c r="G4" t="str">
        <f>IFERROR(VLOOKUP(D4,Itens!$A$2:$E$51,3,FALSE),"")</f>
        <v>L</v>
      </c>
      <c r="H4">
        <v>100</v>
      </c>
      <c r="I4">
        <v>0</v>
      </c>
      <c r="J4">
        <f t="shared" si="0"/>
        <v>100</v>
      </c>
      <c r="K4" s="16">
        <f>Tabela5[[#This Row],[Qtde Recebida]]/Tabela5[[#This Row],[Qtde Pedida]]</f>
        <v>0</v>
      </c>
      <c r="L4">
        <v>60.4</v>
      </c>
      <c r="M4">
        <f t="shared" si="1"/>
        <v>6040</v>
      </c>
      <c r="N4" s="9">
        <v>46061</v>
      </c>
      <c r="O4" t="s">
        <v>262</v>
      </c>
    </row>
    <row r="5" spans="1:15" x14ac:dyDescent="0.25">
      <c r="A5" t="s">
        <v>264</v>
      </c>
      <c r="B5">
        <v>46022</v>
      </c>
      <c r="C5" t="s">
        <v>100</v>
      </c>
      <c r="D5" t="s">
        <v>47</v>
      </c>
      <c r="E5" t="str">
        <f>IFERROR(VLOOKUP(D5,Itens!$A$2:$E$51,2,FALSE),"")</f>
        <v>NPK 08-28-16</v>
      </c>
      <c r="F5" t="str">
        <f>IFERROR(VLOOKUP(D5,Itens!$A$2:$E$51,4,FALSE),"")</f>
        <v>Fertilizante (NPK)</v>
      </c>
      <c r="G5" t="str">
        <f>IFERROR(VLOOKUP(D5,Itens!$A$2:$E$51,3,FALSE),"")</f>
        <v>kg</v>
      </c>
      <c r="H5">
        <v>2000</v>
      </c>
      <c r="I5">
        <v>0</v>
      </c>
      <c r="J5">
        <f t="shared" si="0"/>
        <v>2000</v>
      </c>
      <c r="K5" s="16">
        <f>Tabela5[[#This Row],[Qtde Recebida]]/Tabela5[[#This Row],[Qtde Pedida]]</f>
        <v>0</v>
      </c>
      <c r="L5">
        <v>4.09</v>
      </c>
      <c r="M5">
        <f t="shared" si="1"/>
        <v>8180</v>
      </c>
      <c r="N5" s="9">
        <v>46067</v>
      </c>
      <c r="O5" t="s">
        <v>262</v>
      </c>
    </row>
    <row r="6" spans="1:15" x14ac:dyDescent="0.25">
      <c r="A6" t="s">
        <v>265</v>
      </c>
      <c r="B6">
        <v>46023</v>
      </c>
      <c r="C6" t="s">
        <v>104</v>
      </c>
      <c r="D6" t="s">
        <v>52</v>
      </c>
      <c r="E6" t="str">
        <f>IFERROR(VLOOKUP(D6,Itens!$A$2:$E$51,2,FALSE),"")</f>
        <v>Calcário calcítico (PRNT alto)</v>
      </c>
      <c r="F6" t="str">
        <f>IFERROR(VLOOKUP(D6,Itens!$A$2:$E$51,4,FALSE),"")</f>
        <v>Corretivo (Calcário)</v>
      </c>
      <c r="G6" t="str">
        <f>IFERROR(VLOOKUP(D6,Itens!$A$2:$E$51,3,FALSE),"")</f>
        <v>t</v>
      </c>
      <c r="H6">
        <v>100</v>
      </c>
      <c r="I6">
        <v>46</v>
      </c>
      <c r="J6">
        <f t="shared" si="0"/>
        <v>54</v>
      </c>
      <c r="K6" s="16">
        <f>Tabela5[[#This Row],[Qtde Recebida]]/Tabela5[[#This Row],[Qtde Pedida]]</f>
        <v>0.46</v>
      </c>
      <c r="L6">
        <v>172.82</v>
      </c>
      <c r="M6">
        <f t="shared" si="1"/>
        <v>9332.2799999999988</v>
      </c>
      <c r="N6" s="9">
        <v>46062</v>
      </c>
      <c r="O6" t="s">
        <v>260</v>
      </c>
    </row>
    <row r="7" spans="1:15" x14ac:dyDescent="0.25">
      <c r="A7" t="s">
        <v>266</v>
      </c>
      <c r="B7">
        <v>46024</v>
      </c>
      <c r="C7" t="s">
        <v>100</v>
      </c>
      <c r="D7" t="s">
        <v>72</v>
      </c>
      <c r="E7" t="str">
        <f>IFERROR(VLOOKUP(D7,Itens!$A$2:$E$51,2,FALSE),"")</f>
        <v>Mistura de micronutrientes (B+Zn+Mn+Cu)</v>
      </c>
      <c r="F7" t="str">
        <f>IFERROR(VLOOKUP(D7,Itens!$A$2:$E$51,4,FALSE),"")</f>
        <v>Micronutriente</v>
      </c>
      <c r="G7" t="str">
        <f>IFERROR(VLOOKUP(D7,Itens!$A$2:$E$51,3,FALSE),"")</f>
        <v>kg</v>
      </c>
      <c r="H7">
        <v>50</v>
      </c>
      <c r="I7">
        <v>25.23</v>
      </c>
      <c r="J7">
        <f t="shared" si="0"/>
        <v>24.77</v>
      </c>
      <c r="K7" s="16">
        <f>Tabela5[[#This Row],[Qtde Recebida]]/Tabela5[[#This Row],[Qtde Pedida]]</f>
        <v>0.50460000000000005</v>
      </c>
      <c r="L7">
        <v>19.350000000000001</v>
      </c>
      <c r="M7">
        <f t="shared" si="1"/>
        <v>479.29950000000002</v>
      </c>
      <c r="N7" s="9">
        <v>46079</v>
      </c>
      <c r="O7" t="s">
        <v>260</v>
      </c>
    </row>
    <row r="8" spans="1:15" x14ac:dyDescent="0.25">
      <c r="A8" t="s">
        <v>267</v>
      </c>
      <c r="B8">
        <v>46026</v>
      </c>
      <c r="C8" t="s">
        <v>100</v>
      </c>
      <c r="D8" t="s">
        <v>44</v>
      </c>
      <c r="E8" t="str">
        <f>IFERROR(VLOOKUP(D8,Itens!$A$2:$E$51,2,FALSE),"")</f>
        <v>NPK 20-00-20</v>
      </c>
      <c r="F8" t="str">
        <f>IFERROR(VLOOKUP(D8,Itens!$A$2:$E$51,4,FALSE),"")</f>
        <v>Fertilizante (NPK)</v>
      </c>
      <c r="G8" t="str">
        <f>IFERROR(VLOOKUP(D8,Itens!$A$2:$E$51,3,FALSE),"")</f>
        <v>kg</v>
      </c>
      <c r="H8">
        <v>5000</v>
      </c>
      <c r="I8">
        <v>1170</v>
      </c>
      <c r="J8">
        <f t="shared" si="0"/>
        <v>3830</v>
      </c>
      <c r="K8" s="16">
        <f>Tabela5[[#This Row],[Qtde Recebida]]/Tabela5[[#This Row],[Qtde Pedida]]</f>
        <v>0.23400000000000001</v>
      </c>
      <c r="L8">
        <v>3.41</v>
      </c>
      <c r="M8">
        <f t="shared" si="1"/>
        <v>13060.300000000001</v>
      </c>
      <c r="N8" s="9">
        <v>46059</v>
      </c>
      <c r="O8" t="s">
        <v>260</v>
      </c>
    </row>
    <row r="9" spans="1:15" x14ac:dyDescent="0.25">
      <c r="A9" t="s">
        <v>268</v>
      </c>
      <c r="B9">
        <v>46030</v>
      </c>
      <c r="C9" t="s">
        <v>97</v>
      </c>
      <c r="D9" t="s">
        <v>43</v>
      </c>
      <c r="E9" t="str">
        <f>IFERROR(VLOOKUP(D9,Itens!$A$2:$E$51,2,FALSE),"")</f>
        <v>Superfosfato triplo (TSP)</v>
      </c>
      <c r="F9" t="str">
        <f>IFERROR(VLOOKUP(D9,Itens!$A$2:$E$51,4,FALSE),"")</f>
        <v>Fosfatado</v>
      </c>
      <c r="G9" t="str">
        <f>IFERROR(VLOOKUP(D9,Itens!$A$2:$E$51,3,FALSE),"")</f>
        <v>kg</v>
      </c>
      <c r="H9">
        <v>8000</v>
      </c>
      <c r="I9">
        <v>810</v>
      </c>
      <c r="J9">
        <f t="shared" si="0"/>
        <v>7190</v>
      </c>
      <c r="K9" s="16">
        <f>Tabela5[[#This Row],[Qtde Recebida]]/Tabela5[[#This Row],[Qtde Pedida]]</f>
        <v>0.10125000000000001</v>
      </c>
      <c r="L9">
        <v>3.2</v>
      </c>
      <c r="M9">
        <f t="shared" si="1"/>
        <v>23008</v>
      </c>
      <c r="N9" s="9">
        <v>46080</v>
      </c>
      <c r="O9" t="s">
        <v>260</v>
      </c>
    </row>
    <row r="10" spans="1:15" x14ac:dyDescent="0.25">
      <c r="A10" t="s">
        <v>269</v>
      </c>
      <c r="B10">
        <v>46031</v>
      </c>
      <c r="C10" t="s">
        <v>92</v>
      </c>
      <c r="D10" t="s">
        <v>11</v>
      </c>
      <c r="E10" t="str">
        <f>IFERROR(VLOOKUP(D10,Itens!$A$2:$E$51,2,FALSE),"")</f>
        <v>Tebutiuron 500 WG</v>
      </c>
      <c r="F10" t="str">
        <f>IFERROR(VLOOKUP(D10,Itens!$A$2:$E$51,4,FALSE),"")</f>
        <v>Herbicida</v>
      </c>
      <c r="G10" t="str">
        <f>IFERROR(VLOOKUP(D10,Itens!$A$2:$E$51,3,FALSE),"")</f>
        <v>kg</v>
      </c>
      <c r="H10">
        <v>5</v>
      </c>
      <c r="I10">
        <v>1.42</v>
      </c>
      <c r="J10">
        <f t="shared" si="0"/>
        <v>3.58</v>
      </c>
      <c r="K10" s="16">
        <f>Tabela5[[#This Row],[Qtde Recebida]]/Tabela5[[#This Row],[Qtde Pedida]]</f>
        <v>0.28399999999999997</v>
      </c>
      <c r="L10">
        <v>79.11</v>
      </c>
      <c r="M10">
        <f t="shared" si="1"/>
        <v>283.21379999999999</v>
      </c>
      <c r="N10" s="9">
        <v>46078</v>
      </c>
      <c r="O10" t="s">
        <v>260</v>
      </c>
    </row>
    <row r="11" spans="1:15" x14ac:dyDescent="0.25">
      <c r="A11" t="s">
        <v>270</v>
      </c>
      <c r="B11">
        <v>46033</v>
      </c>
      <c r="C11" t="s">
        <v>102</v>
      </c>
      <c r="D11" t="s">
        <v>8</v>
      </c>
      <c r="E11" t="str">
        <f>IFERROR(VLOOKUP(D11,Itens!$A$2:$E$51,2,FALSE),"")</f>
        <v>Atrazina 500 SC</v>
      </c>
      <c r="F11" t="str">
        <f>IFERROR(VLOOKUP(D11,Itens!$A$2:$E$51,4,FALSE),"")</f>
        <v>Herbicida</v>
      </c>
      <c r="G11" t="str">
        <f>IFERROR(VLOOKUP(D11,Itens!$A$2:$E$51,3,FALSE),"")</f>
        <v>L</v>
      </c>
      <c r="H11">
        <v>150</v>
      </c>
      <c r="I11">
        <v>0</v>
      </c>
      <c r="J11">
        <f t="shared" si="0"/>
        <v>150</v>
      </c>
      <c r="K11" s="16">
        <f>Tabela5[[#This Row],[Qtde Recebida]]/Tabela5[[#This Row],[Qtde Pedida]]</f>
        <v>0</v>
      </c>
      <c r="L11">
        <v>24.75</v>
      </c>
      <c r="M11">
        <f t="shared" si="1"/>
        <v>3712.5</v>
      </c>
      <c r="N11" s="9">
        <v>46075</v>
      </c>
      <c r="O11" t="s">
        <v>262</v>
      </c>
    </row>
    <row r="12" spans="1:15" x14ac:dyDescent="0.25">
      <c r="A12" t="s">
        <v>271</v>
      </c>
      <c r="B12">
        <v>46035</v>
      </c>
      <c r="C12" t="s">
        <v>100</v>
      </c>
      <c r="D12" t="s">
        <v>35</v>
      </c>
      <c r="E12" t="str">
        <f>IFERROR(VLOOKUP(D12,Itens!$A$2:$E$51,2,FALSE),"")</f>
        <v>Cloreto de potássio (KCl) 60% K2O</v>
      </c>
      <c r="F12" t="str">
        <f>IFERROR(VLOOKUP(D12,Itens!$A$2:$E$51,4,FALSE),"")</f>
        <v>Fertilizante (K)</v>
      </c>
      <c r="G12" t="str">
        <f>IFERROR(VLOOKUP(D12,Itens!$A$2:$E$51,3,FALSE),"")</f>
        <v>kg</v>
      </c>
      <c r="H12">
        <v>5000</v>
      </c>
      <c r="I12">
        <v>2510</v>
      </c>
      <c r="J12">
        <f t="shared" si="0"/>
        <v>2490</v>
      </c>
      <c r="K12" s="16">
        <f>Tabela5[[#This Row],[Qtde Recebida]]/Tabela5[[#This Row],[Qtde Pedida]]</f>
        <v>0.502</v>
      </c>
      <c r="L12">
        <v>3.22</v>
      </c>
      <c r="M12">
        <f t="shared" si="1"/>
        <v>8017.8</v>
      </c>
      <c r="N12" s="9">
        <v>46063</v>
      </c>
      <c r="O12" t="s">
        <v>260</v>
      </c>
    </row>
    <row r="13" spans="1:15" x14ac:dyDescent="0.25">
      <c r="A13" t="s">
        <v>272</v>
      </c>
      <c r="B13">
        <v>46036</v>
      </c>
      <c r="C13" t="s">
        <v>100</v>
      </c>
      <c r="D13" t="s">
        <v>71</v>
      </c>
      <c r="E13" t="str">
        <f>IFERROR(VLOOKUP(D13,Itens!$A$2:$E$51,2,FALSE),"")</f>
        <v>Cobre (Cu)</v>
      </c>
      <c r="F13" t="str">
        <f>IFERROR(VLOOKUP(D13,Itens!$A$2:$E$51,4,FALSE),"")</f>
        <v>Micronutriente</v>
      </c>
      <c r="G13" t="str">
        <f>IFERROR(VLOOKUP(D13,Itens!$A$2:$E$51,3,FALSE),"")</f>
        <v>kg</v>
      </c>
      <c r="H13">
        <v>80</v>
      </c>
      <c r="I13">
        <v>35.020000000000003</v>
      </c>
      <c r="J13">
        <f t="shared" si="0"/>
        <v>44.98</v>
      </c>
      <c r="K13" s="16">
        <f>Tabela5[[#This Row],[Qtde Recebida]]/Tabela5[[#This Row],[Qtde Pedida]]</f>
        <v>0.43775000000000003</v>
      </c>
      <c r="L13">
        <v>24.37</v>
      </c>
      <c r="M13">
        <f t="shared" si="1"/>
        <v>1096.1625999999999</v>
      </c>
      <c r="N13" s="9">
        <v>46057</v>
      </c>
      <c r="O13" t="s">
        <v>260</v>
      </c>
    </row>
    <row r="14" spans="1:15" x14ac:dyDescent="0.25">
      <c r="A14" t="s">
        <v>273</v>
      </c>
      <c r="B14">
        <v>46037</v>
      </c>
      <c r="C14" t="s">
        <v>102</v>
      </c>
      <c r="D14" t="s">
        <v>7</v>
      </c>
      <c r="E14" t="str">
        <f>IFERROR(VLOOKUP(D14,Itens!$A$2:$E$51,2,FALSE),"")</f>
        <v>2,4-D (sal amina)</v>
      </c>
      <c r="F14" t="str">
        <f>IFERROR(VLOOKUP(D14,Itens!$A$2:$E$51,4,FALSE),"")</f>
        <v>Herbicida</v>
      </c>
      <c r="G14" t="str">
        <f>IFERROR(VLOOKUP(D14,Itens!$A$2:$E$51,3,FALSE),"")</f>
        <v>L</v>
      </c>
      <c r="H14">
        <v>80</v>
      </c>
      <c r="I14">
        <v>0</v>
      </c>
      <c r="J14">
        <f t="shared" si="0"/>
        <v>80</v>
      </c>
      <c r="K14" s="16">
        <f>Tabela5[[#This Row],[Qtde Recebida]]/Tabela5[[#This Row],[Qtde Pedida]]</f>
        <v>0</v>
      </c>
      <c r="L14">
        <v>17.420000000000002</v>
      </c>
      <c r="M14">
        <f t="shared" si="1"/>
        <v>1393.6000000000001</v>
      </c>
      <c r="N14" s="9">
        <v>46047</v>
      </c>
      <c r="O14" t="s">
        <v>262</v>
      </c>
    </row>
    <row r="15" spans="1:15" x14ac:dyDescent="0.25">
      <c r="A15" t="s">
        <v>274</v>
      </c>
      <c r="B15">
        <v>46039</v>
      </c>
      <c r="C15" t="s">
        <v>104</v>
      </c>
      <c r="D15" t="s">
        <v>32</v>
      </c>
      <c r="E15" t="str">
        <f>IFERROR(VLOOKUP(D15,Itens!$A$2:$E$51,2,FALSE),"")</f>
        <v>Sulfato de amônio 21% N + 24% S</v>
      </c>
      <c r="F15" t="str">
        <f>IFERROR(VLOOKUP(D15,Itens!$A$2:$E$51,4,FALSE),"")</f>
        <v>Fertilizante (N/S)</v>
      </c>
      <c r="G15" t="str">
        <f>IFERROR(VLOOKUP(D15,Itens!$A$2:$E$51,3,FALSE),"")</f>
        <v>kg</v>
      </c>
      <c r="H15">
        <v>8000</v>
      </c>
      <c r="I15">
        <v>4430</v>
      </c>
      <c r="J15">
        <f t="shared" si="0"/>
        <v>3570</v>
      </c>
      <c r="K15" s="16">
        <f>Tabela5[[#This Row],[Qtde Recebida]]/Tabela5[[#This Row],[Qtde Pedida]]</f>
        <v>0.55374999999999996</v>
      </c>
      <c r="L15">
        <v>1.81</v>
      </c>
      <c r="M15">
        <f t="shared" si="1"/>
        <v>6461.7</v>
      </c>
      <c r="N15" s="9">
        <v>46083</v>
      </c>
      <c r="O15" t="s">
        <v>260</v>
      </c>
    </row>
    <row r="16" spans="1:15" x14ac:dyDescent="0.25">
      <c r="E16" t="str">
        <f>IFERROR(VLOOKUP(D16,Itens!$A$2:$E$51,2,FALSE),"")</f>
        <v/>
      </c>
      <c r="F16" t="str">
        <f>IFERROR(VLOOKUP(D16,Itens!$A$2:$E$51,4,FALSE),"")</f>
        <v/>
      </c>
      <c r="G16" t="str">
        <f>IFERROR(VLOOKUP(D16,Itens!$A$2:$E$51,3,FALSE),"")</f>
        <v/>
      </c>
      <c r="J16" t="str">
        <f t="shared" si="0"/>
        <v/>
      </c>
      <c r="M16" t="str">
        <f t="shared" si="1"/>
        <v/>
      </c>
    </row>
    <row r="17" spans="5:13" x14ac:dyDescent="0.25">
      <c r="E17" t="str">
        <f>IFERROR(VLOOKUP(D17,Itens!$A$2:$E$51,2,FALSE),"")</f>
        <v/>
      </c>
      <c r="F17" t="str">
        <f>IFERROR(VLOOKUP(D17,Itens!$A$2:$E$51,4,FALSE),"")</f>
        <v/>
      </c>
      <c r="G17" t="str">
        <f>IFERROR(VLOOKUP(D17,Itens!$A$2:$E$51,3,FALSE),"")</f>
        <v/>
      </c>
      <c r="J17" t="str">
        <f t="shared" si="0"/>
        <v/>
      </c>
      <c r="M17" t="str">
        <f t="shared" si="1"/>
        <v/>
      </c>
    </row>
    <row r="18" spans="5:13" x14ac:dyDescent="0.25">
      <c r="E18" t="str">
        <f>IFERROR(VLOOKUP(D18,Itens!$A$2:$E$51,2,FALSE),"")</f>
        <v/>
      </c>
      <c r="F18" t="str">
        <f>IFERROR(VLOOKUP(D18,Itens!$A$2:$E$51,4,FALSE),"")</f>
        <v/>
      </c>
      <c r="G18" t="str">
        <f>IFERROR(VLOOKUP(D18,Itens!$A$2:$E$51,3,FALSE),"")</f>
        <v/>
      </c>
      <c r="J18" t="str">
        <f t="shared" si="0"/>
        <v/>
      </c>
      <c r="M18" t="str">
        <f t="shared" si="1"/>
        <v/>
      </c>
    </row>
    <row r="19" spans="5:13" x14ac:dyDescent="0.25">
      <c r="E19" t="str">
        <f>IFERROR(VLOOKUP(D19,Itens!$A$2:$E$51,2,FALSE),"")</f>
        <v/>
      </c>
      <c r="F19" t="str">
        <f>IFERROR(VLOOKUP(D19,Itens!$A$2:$E$51,4,FALSE),"")</f>
        <v/>
      </c>
      <c r="G19" t="str">
        <f>IFERROR(VLOOKUP(D19,Itens!$A$2:$E$51,3,FALSE),"")</f>
        <v/>
      </c>
      <c r="J19" t="str">
        <f t="shared" si="0"/>
        <v/>
      </c>
      <c r="M19" t="str">
        <f t="shared" si="1"/>
        <v/>
      </c>
    </row>
    <row r="20" spans="5:13" x14ac:dyDescent="0.25">
      <c r="E20" t="str">
        <f>IFERROR(VLOOKUP(D20,Itens!$A$2:$E$51,2,FALSE),"")</f>
        <v/>
      </c>
      <c r="F20" t="str">
        <f>IFERROR(VLOOKUP(D20,Itens!$A$2:$E$51,4,FALSE),"")</f>
        <v/>
      </c>
      <c r="G20" t="str">
        <f>IFERROR(VLOOKUP(D20,Itens!$A$2:$E$51,3,FALSE),"")</f>
        <v/>
      </c>
      <c r="J20" t="str">
        <f t="shared" si="0"/>
        <v/>
      </c>
      <c r="M20" t="str">
        <f t="shared" si="1"/>
        <v/>
      </c>
    </row>
    <row r="21" spans="5:13" x14ac:dyDescent="0.25">
      <c r="E21" t="str">
        <f>IFERROR(VLOOKUP(D21,Itens!$A$2:$E$51,2,FALSE),"")</f>
        <v/>
      </c>
      <c r="F21" t="str">
        <f>IFERROR(VLOOKUP(D21,Itens!$A$2:$E$51,4,FALSE),"")</f>
        <v/>
      </c>
      <c r="G21" t="str">
        <f>IFERROR(VLOOKUP(D21,Itens!$A$2:$E$51,3,FALSE),"")</f>
        <v/>
      </c>
      <c r="J21" t="str">
        <f t="shared" si="0"/>
        <v/>
      </c>
      <c r="M21" t="str">
        <f t="shared" si="1"/>
        <v/>
      </c>
    </row>
    <row r="22" spans="5:13" x14ac:dyDescent="0.25">
      <c r="E22" t="str">
        <f>IFERROR(VLOOKUP(D22,Itens!$A$2:$E$51,2,FALSE),"")</f>
        <v/>
      </c>
      <c r="F22" t="str">
        <f>IFERROR(VLOOKUP(D22,Itens!$A$2:$E$51,4,FALSE),"")</f>
        <v/>
      </c>
      <c r="G22" t="str">
        <f>IFERROR(VLOOKUP(D22,Itens!$A$2:$E$51,3,FALSE),"")</f>
        <v/>
      </c>
      <c r="J22" t="str">
        <f t="shared" si="0"/>
        <v/>
      </c>
      <c r="M22" t="str">
        <f t="shared" si="1"/>
        <v/>
      </c>
    </row>
    <row r="23" spans="5:13" x14ac:dyDescent="0.25">
      <c r="E23" t="str">
        <f>IFERROR(VLOOKUP(D23,Itens!$A$2:$E$51,2,FALSE),"")</f>
        <v/>
      </c>
      <c r="F23" t="str">
        <f>IFERROR(VLOOKUP(D23,Itens!$A$2:$E$51,4,FALSE),"")</f>
        <v/>
      </c>
      <c r="G23" t="str">
        <f>IFERROR(VLOOKUP(D23,Itens!$A$2:$E$51,3,FALSE),"")</f>
        <v/>
      </c>
      <c r="J23" t="str">
        <f t="shared" si="0"/>
        <v/>
      </c>
      <c r="M23" t="str">
        <f t="shared" si="1"/>
        <v/>
      </c>
    </row>
    <row r="24" spans="5:13" x14ac:dyDescent="0.25">
      <c r="E24" t="str">
        <f>IFERROR(VLOOKUP(D24,Itens!$A$2:$E$51,2,FALSE),"")</f>
        <v/>
      </c>
      <c r="F24" t="str">
        <f>IFERROR(VLOOKUP(D24,Itens!$A$2:$E$51,4,FALSE),"")</f>
        <v/>
      </c>
      <c r="G24" t="str">
        <f>IFERROR(VLOOKUP(D24,Itens!$A$2:$E$51,3,FALSE),"")</f>
        <v/>
      </c>
      <c r="J24" t="str">
        <f t="shared" si="0"/>
        <v/>
      </c>
      <c r="M24" t="str">
        <f t="shared" si="1"/>
        <v/>
      </c>
    </row>
    <row r="25" spans="5:13" x14ac:dyDescent="0.25">
      <c r="E25" t="str">
        <f>IFERROR(VLOOKUP(D25,Itens!$A$2:$E$51,2,FALSE),"")</f>
        <v/>
      </c>
      <c r="F25" t="str">
        <f>IFERROR(VLOOKUP(D25,Itens!$A$2:$E$51,4,FALSE),"")</f>
        <v/>
      </c>
      <c r="G25" t="str">
        <f>IFERROR(VLOOKUP(D25,Itens!$A$2:$E$51,3,FALSE),"")</f>
        <v/>
      </c>
      <c r="J25" t="str">
        <f t="shared" si="0"/>
        <v/>
      </c>
      <c r="M25" t="str">
        <f t="shared" si="1"/>
        <v/>
      </c>
    </row>
    <row r="26" spans="5:13" x14ac:dyDescent="0.25">
      <c r="E26" t="str">
        <f>IFERROR(VLOOKUP(D26,Itens!$A$2:$E$51,2,FALSE),"")</f>
        <v/>
      </c>
      <c r="F26" t="str">
        <f>IFERROR(VLOOKUP(D26,Itens!$A$2:$E$51,4,FALSE),"")</f>
        <v/>
      </c>
      <c r="G26" t="str">
        <f>IFERROR(VLOOKUP(D26,Itens!$A$2:$E$51,3,FALSE),"")</f>
        <v/>
      </c>
      <c r="J26" t="str">
        <f t="shared" si="0"/>
        <v/>
      </c>
      <c r="M26" t="str">
        <f t="shared" si="1"/>
        <v/>
      </c>
    </row>
    <row r="27" spans="5:13" x14ac:dyDescent="0.25">
      <c r="E27" t="str">
        <f>IFERROR(VLOOKUP(D27,Itens!$A$2:$E$51,2,FALSE),"")</f>
        <v/>
      </c>
      <c r="F27" t="str">
        <f>IFERROR(VLOOKUP(D27,Itens!$A$2:$E$51,4,FALSE),"")</f>
        <v/>
      </c>
      <c r="G27" t="str">
        <f>IFERROR(VLOOKUP(D27,Itens!$A$2:$E$51,3,FALSE),"")</f>
        <v/>
      </c>
      <c r="J27" t="str">
        <f t="shared" si="0"/>
        <v/>
      </c>
      <c r="M27" t="str">
        <f t="shared" si="1"/>
        <v/>
      </c>
    </row>
    <row r="28" spans="5:13" x14ac:dyDescent="0.25">
      <c r="E28" t="str">
        <f>IFERROR(VLOOKUP(D28,Itens!$A$2:$E$51,2,FALSE),"")</f>
        <v/>
      </c>
      <c r="F28" t="str">
        <f>IFERROR(VLOOKUP(D28,Itens!$A$2:$E$51,4,FALSE),"")</f>
        <v/>
      </c>
      <c r="G28" t="str">
        <f>IFERROR(VLOOKUP(D28,Itens!$A$2:$E$51,3,FALSE),"")</f>
        <v/>
      </c>
      <c r="J28" t="str">
        <f t="shared" si="0"/>
        <v/>
      </c>
      <c r="M28" t="str">
        <f t="shared" si="1"/>
        <v/>
      </c>
    </row>
    <row r="29" spans="5:13" x14ac:dyDescent="0.25">
      <c r="E29" t="str">
        <f>IFERROR(VLOOKUP(D29,Itens!$A$2:$E$51,2,FALSE),"")</f>
        <v/>
      </c>
      <c r="F29" t="str">
        <f>IFERROR(VLOOKUP(D29,Itens!$A$2:$E$51,4,FALSE),"")</f>
        <v/>
      </c>
      <c r="G29" t="str">
        <f>IFERROR(VLOOKUP(D29,Itens!$A$2:$E$51,3,FALSE),"")</f>
        <v/>
      </c>
      <c r="J29" t="str">
        <f t="shared" si="0"/>
        <v/>
      </c>
      <c r="M29" t="str">
        <f t="shared" si="1"/>
        <v/>
      </c>
    </row>
    <row r="30" spans="5:13" x14ac:dyDescent="0.25">
      <c r="E30" t="str">
        <f>IFERROR(VLOOKUP(D30,Itens!$A$2:$E$51,2,FALSE),"")</f>
        <v/>
      </c>
      <c r="F30" t="str">
        <f>IFERROR(VLOOKUP(D30,Itens!$A$2:$E$51,4,FALSE),"")</f>
        <v/>
      </c>
      <c r="G30" t="str">
        <f>IFERROR(VLOOKUP(D30,Itens!$A$2:$E$51,3,FALSE),"")</f>
        <v/>
      </c>
      <c r="J30" t="str">
        <f t="shared" si="0"/>
        <v/>
      </c>
      <c r="M30" t="str">
        <f t="shared" si="1"/>
        <v/>
      </c>
    </row>
    <row r="31" spans="5:13" x14ac:dyDescent="0.25">
      <c r="E31" t="str">
        <f>IFERROR(VLOOKUP(D31,Itens!$A$2:$E$51,2,FALSE),"")</f>
        <v/>
      </c>
      <c r="F31" t="str">
        <f>IFERROR(VLOOKUP(D31,Itens!$A$2:$E$51,4,FALSE),"")</f>
        <v/>
      </c>
      <c r="G31" t="str">
        <f>IFERROR(VLOOKUP(D31,Itens!$A$2:$E$51,3,FALSE),"")</f>
        <v/>
      </c>
      <c r="J31" t="str">
        <f t="shared" si="0"/>
        <v/>
      </c>
      <c r="M31" t="str">
        <f t="shared" si="1"/>
        <v/>
      </c>
    </row>
    <row r="32" spans="5:13" x14ac:dyDescent="0.25">
      <c r="E32" t="str">
        <f>IFERROR(VLOOKUP(D32,Itens!$A$2:$E$51,2,FALSE),"")</f>
        <v/>
      </c>
      <c r="F32" t="str">
        <f>IFERROR(VLOOKUP(D32,Itens!$A$2:$E$51,4,FALSE),"")</f>
        <v/>
      </c>
      <c r="G32" t="str">
        <f>IFERROR(VLOOKUP(D32,Itens!$A$2:$E$51,3,FALSE),"")</f>
        <v/>
      </c>
      <c r="J32" t="str">
        <f t="shared" si="0"/>
        <v/>
      </c>
      <c r="M32" t="str">
        <f t="shared" si="1"/>
        <v/>
      </c>
    </row>
    <row r="33" spans="5:13" x14ac:dyDescent="0.25">
      <c r="E33" t="str">
        <f>IFERROR(VLOOKUP(D33,Itens!$A$2:$E$51,2,FALSE),"")</f>
        <v/>
      </c>
      <c r="F33" t="str">
        <f>IFERROR(VLOOKUP(D33,Itens!$A$2:$E$51,4,FALSE),"")</f>
        <v/>
      </c>
      <c r="G33" t="str">
        <f>IFERROR(VLOOKUP(D33,Itens!$A$2:$E$51,3,FALSE),"")</f>
        <v/>
      </c>
      <c r="J33" t="str">
        <f t="shared" si="0"/>
        <v/>
      </c>
      <c r="M33" t="str">
        <f t="shared" si="1"/>
        <v/>
      </c>
    </row>
    <row r="34" spans="5:13" x14ac:dyDescent="0.25">
      <c r="E34" t="str">
        <f>IFERROR(VLOOKUP(D34,Itens!$A$2:$E$51,2,FALSE),"")</f>
        <v/>
      </c>
      <c r="F34" t="str">
        <f>IFERROR(VLOOKUP(D34,Itens!$A$2:$E$51,4,FALSE),"")</f>
        <v/>
      </c>
      <c r="G34" t="str">
        <f>IFERROR(VLOOKUP(D34,Itens!$A$2:$E$51,3,FALSE),"")</f>
        <v/>
      </c>
      <c r="J34" t="str">
        <f t="shared" ref="J34:J65" si="2">IF(H34="","",MAX(0,H34-IF(I34="",0,I34)))</f>
        <v/>
      </c>
      <c r="M34" t="str">
        <f t="shared" ref="M34:M65" si="3">IF(OR(J34="",L34=""),"",J34*L34)</f>
        <v/>
      </c>
    </row>
    <row r="35" spans="5:13" x14ac:dyDescent="0.25">
      <c r="E35" t="str">
        <f>IFERROR(VLOOKUP(D35,Itens!$A$2:$E$51,2,FALSE),"")</f>
        <v/>
      </c>
      <c r="F35" t="str">
        <f>IFERROR(VLOOKUP(D35,Itens!$A$2:$E$51,4,FALSE),"")</f>
        <v/>
      </c>
      <c r="G35" t="str">
        <f>IFERROR(VLOOKUP(D35,Itens!$A$2:$E$51,3,FALSE),"")</f>
        <v/>
      </c>
      <c r="J35" t="str">
        <f t="shared" si="2"/>
        <v/>
      </c>
      <c r="M35" t="str">
        <f t="shared" si="3"/>
        <v/>
      </c>
    </row>
    <row r="36" spans="5:13" x14ac:dyDescent="0.25">
      <c r="E36" t="str">
        <f>IFERROR(VLOOKUP(D36,Itens!$A$2:$E$51,2,FALSE),"")</f>
        <v/>
      </c>
      <c r="F36" t="str">
        <f>IFERROR(VLOOKUP(D36,Itens!$A$2:$E$51,4,FALSE),"")</f>
        <v/>
      </c>
      <c r="G36" t="str">
        <f>IFERROR(VLOOKUP(D36,Itens!$A$2:$E$51,3,FALSE),"")</f>
        <v/>
      </c>
      <c r="J36" t="str">
        <f t="shared" si="2"/>
        <v/>
      </c>
      <c r="M36" t="str">
        <f t="shared" si="3"/>
        <v/>
      </c>
    </row>
    <row r="37" spans="5:13" x14ac:dyDescent="0.25">
      <c r="E37" t="str">
        <f>IFERROR(VLOOKUP(D37,Itens!$A$2:$E$51,2,FALSE),"")</f>
        <v/>
      </c>
      <c r="F37" t="str">
        <f>IFERROR(VLOOKUP(D37,Itens!$A$2:$E$51,4,FALSE),"")</f>
        <v/>
      </c>
      <c r="G37" t="str">
        <f>IFERROR(VLOOKUP(D37,Itens!$A$2:$E$51,3,FALSE),"")</f>
        <v/>
      </c>
      <c r="J37" t="str">
        <f t="shared" si="2"/>
        <v/>
      </c>
      <c r="M37" t="str">
        <f t="shared" si="3"/>
        <v/>
      </c>
    </row>
    <row r="38" spans="5:13" x14ac:dyDescent="0.25">
      <c r="E38" t="str">
        <f>IFERROR(VLOOKUP(D38,Itens!$A$2:$E$51,2,FALSE),"")</f>
        <v/>
      </c>
      <c r="F38" t="str">
        <f>IFERROR(VLOOKUP(D38,Itens!$A$2:$E$51,4,FALSE),"")</f>
        <v/>
      </c>
      <c r="G38" t="str">
        <f>IFERROR(VLOOKUP(D38,Itens!$A$2:$E$51,3,FALSE),"")</f>
        <v/>
      </c>
      <c r="J38" t="str">
        <f t="shared" si="2"/>
        <v/>
      </c>
      <c r="M38" t="str">
        <f t="shared" si="3"/>
        <v/>
      </c>
    </row>
    <row r="39" spans="5:13" x14ac:dyDescent="0.25">
      <c r="E39" t="str">
        <f>IFERROR(VLOOKUP(D39,Itens!$A$2:$E$51,2,FALSE),"")</f>
        <v/>
      </c>
      <c r="F39" t="str">
        <f>IFERROR(VLOOKUP(D39,Itens!$A$2:$E$51,4,FALSE),"")</f>
        <v/>
      </c>
      <c r="G39" t="str">
        <f>IFERROR(VLOOKUP(D39,Itens!$A$2:$E$51,3,FALSE),"")</f>
        <v/>
      </c>
      <c r="J39" t="str">
        <f t="shared" si="2"/>
        <v/>
      </c>
      <c r="M39" t="str">
        <f t="shared" si="3"/>
        <v/>
      </c>
    </row>
    <row r="40" spans="5:13" x14ac:dyDescent="0.25">
      <c r="E40" t="str">
        <f>IFERROR(VLOOKUP(D40,Itens!$A$2:$E$51,2,FALSE),"")</f>
        <v/>
      </c>
      <c r="F40" t="str">
        <f>IFERROR(VLOOKUP(D40,Itens!$A$2:$E$51,4,FALSE),"")</f>
        <v/>
      </c>
      <c r="G40" t="str">
        <f>IFERROR(VLOOKUP(D40,Itens!$A$2:$E$51,3,FALSE),"")</f>
        <v/>
      </c>
      <c r="J40" t="str">
        <f t="shared" si="2"/>
        <v/>
      </c>
      <c r="M40" t="str">
        <f t="shared" si="3"/>
        <v/>
      </c>
    </row>
    <row r="41" spans="5:13" x14ac:dyDescent="0.25">
      <c r="E41" t="str">
        <f>IFERROR(VLOOKUP(D41,Itens!$A$2:$E$51,2,FALSE),"")</f>
        <v/>
      </c>
      <c r="F41" t="str">
        <f>IFERROR(VLOOKUP(D41,Itens!$A$2:$E$51,4,FALSE),"")</f>
        <v/>
      </c>
      <c r="G41" t="str">
        <f>IFERROR(VLOOKUP(D41,Itens!$A$2:$E$51,3,FALSE),"")</f>
        <v/>
      </c>
      <c r="J41" t="str">
        <f t="shared" si="2"/>
        <v/>
      </c>
      <c r="M41" t="str">
        <f t="shared" si="3"/>
        <v/>
      </c>
    </row>
    <row r="42" spans="5:13" x14ac:dyDescent="0.25">
      <c r="E42" t="str">
        <f>IFERROR(VLOOKUP(D42,Itens!$A$2:$E$51,2,FALSE),"")</f>
        <v/>
      </c>
      <c r="F42" t="str">
        <f>IFERROR(VLOOKUP(D42,Itens!$A$2:$E$51,4,FALSE),"")</f>
        <v/>
      </c>
      <c r="G42" t="str">
        <f>IFERROR(VLOOKUP(D42,Itens!$A$2:$E$51,3,FALSE),"")</f>
        <v/>
      </c>
      <c r="J42" t="str">
        <f t="shared" si="2"/>
        <v/>
      </c>
      <c r="M42" t="str">
        <f t="shared" si="3"/>
        <v/>
      </c>
    </row>
    <row r="43" spans="5:13" x14ac:dyDescent="0.25">
      <c r="E43" t="str">
        <f>IFERROR(VLOOKUP(D43,Itens!$A$2:$E$51,2,FALSE),"")</f>
        <v/>
      </c>
      <c r="F43" t="str">
        <f>IFERROR(VLOOKUP(D43,Itens!$A$2:$E$51,4,FALSE),"")</f>
        <v/>
      </c>
      <c r="G43" t="str">
        <f>IFERROR(VLOOKUP(D43,Itens!$A$2:$E$51,3,FALSE),"")</f>
        <v/>
      </c>
      <c r="J43" t="str">
        <f t="shared" si="2"/>
        <v/>
      </c>
      <c r="M43" t="str">
        <f t="shared" si="3"/>
        <v/>
      </c>
    </row>
    <row r="44" spans="5:13" x14ac:dyDescent="0.25">
      <c r="E44" t="str">
        <f>IFERROR(VLOOKUP(D44,Itens!$A$2:$E$51,2,FALSE),"")</f>
        <v/>
      </c>
      <c r="F44" t="str">
        <f>IFERROR(VLOOKUP(D44,Itens!$A$2:$E$51,4,FALSE),"")</f>
        <v/>
      </c>
      <c r="G44" t="str">
        <f>IFERROR(VLOOKUP(D44,Itens!$A$2:$E$51,3,FALSE),"")</f>
        <v/>
      </c>
      <c r="J44" t="str">
        <f t="shared" si="2"/>
        <v/>
      </c>
      <c r="M44" t="str">
        <f t="shared" si="3"/>
        <v/>
      </c>
    </row>
    <row r="45" spans="5:13" x14ac:dyDescent="0.25">
      <c r="E45" t="str">
        <f>IFERROR(VLOOKUP(D45,Itens!$A$2:$E$51,2,FALSE),"")</f>
        <v/>
      </c>
      <c r="F45" t="str">
        <f>IFERROR(VLOOKUP(D45,Itens!$A$2:$E$51,4,FALSE),"")</f>
        <v/>
      </c>
      <c r="G45" t="str">
        <f>IFERROR(VLOOKUP(D45,Itens!$A$2:$E$51,3,FALSE),"")</f>
        <v/>
      </c>
      <c r="J45" t="str">
        <f t="shared" si="2"/>
        <v/>
      </c>
      <c r="M45" t="str">
        <f t="shared" si="3"/>
        <v/>
      </c>
    </row>
    <row r="46" spans="5:13" x14ac:dyDescent="0.25">
      <c r="E46" t="str">
        <f>IFERROR(VLOOKUP(D46,Itens!$A$2:$E$51,2,FALSE),"")</f>
        <v/>
      </c>
      <c r="F46" t="str">
        <f>IFERROR(VLOOKUP(D46,Itens!$A$2:$E$51,4,FALSE),"")</f>
        <v/>
      </c>
      <c r="G46" t="str">
        <f>IFERROR(VLOOKUP(D46,Itens!$A$2:$E$51,3,FALSE),"")</f>
        <v/>
      </c>
      <c r="J46" t="str">
        <f t="shared" si="2"/>
        <v/>
      </c>
      <c r="M46" t="str">
        <f t="shared" si="3"/>
        <v/>
      </c>
    </row>
    <row r="47" spans="5:13" x14ac:dyDescent="0.25">
      <c r="E47" t="str">
        <f>IFERROR(VLOOKUP(D47,Itens!$A$2:$E$51,2,FALSE),"")</f>
        <v/>
      </c>
      <c r="F47" t="str">
        <f>IFERROR(VLOOKUP(D47,Itens!$A$2:$E$51,4,FALSE),"")</f>
        <v/>
      </c>
      <c r="G47" t="str">
        <f>IFERROR(VLOOKUP(D47,Itens!$A$2:$E$51,3,FALSE),"")</f>
        <v/>
      </c>
      <c r="J47" t="str">
        <f t="shared" si="2"/>
        <v/>
      </c>
      <c r="M47" t="str">
        <f t="shared" si="3"/>
        <v/>
      </c>
    </row>
    <row r="48" spans="5:13" x14ac:dyDescent="0.25">
      <c r="E48" t="str">
        <f>IFERROR(VLOOKUP(D48,Itens!$A$2:$E$51,2,FALSE),"")</f>
        <v/>
      </c>
      <c r="F48" t="str">
        <f>IFERROR(VLOOKUP(D48,Itens!$A$2:$E$51,4,FALSE),"")</f>
        <v/>
      </c>
      <c r="G48" t="str">
        <f>IFERROR(VLOOKUP(D48,Itens!$A$2:$E$51,3,FALSE),"")</f>
        <v/>
      </c>
      <c r="J48" t="str">
        <f t="shared" si="2"/>
        <v/>
      </c>
      <c r="M48" t="str">
        <f t="shared" si="3"/>
        <v/>
      </c>
    </row>
    <row r="49" spans="5:13" x14ac:dyDescent="0.25">
      <c r="E49" t="str">
        <f>IFERROR(VLOOKUP(D49,Itens!$A$2:$E$51,2,FALSE),"")</f>
        <v/>
      </c>
      <c r="F49" t="str">
        <f>IFERROR(VLOOKUP(D49,Itens!$A$2:$E$51,4,FALSE),"")</f>
        <v/>
      </c>
      <c r="G49" t="str">
        <f>IFERROR(VLOOKUP(D49,Itens!$A$2:$E$51,3,FALSE),"")</f>
        <v/>
      </c>
      <c r="J49" t="str">
        <f t="shared" si="2"/>
        <v/>
      </c>
      <c r="M49" t="str">
        <f t="shared" si="3"/>
        <v/>
      </c>
    </row>
    <row r="50" spans="5:13" x14ac:dyDescent="0.25">
      <c r="E50" t="str">
        <f>IFERROR(VLOOKUP(D50,Itens!$A$2:$E$51,2,FALSE),"")</f>
        <v/>
      </c>
      <c r="F50" t="str">
        <f>IFERROR(VLOOKUP(D50,Itens!$A$2:$E$51,4,FALSE),"")</f>
        <v/>
      </c>
      <c r="G50" t="str">
        <f>IFERROR(VLOOKUP(D50,Itens!$A$2:$E$51,3,FALSE),"")</f>
        <v/>
      </c>
      <c r="J50" t="str">
        <f t="shared" si="2"/>
        <v/>
      </c>
      <c r="M50" t="str">
        <f t="shared" si="3"/>
        <v/>
      </c>
    </row>
    <row r="51" spans="5:13" x14ac:dyDescent="0.25">
      <c r="E51" t="str">
        <f>IFERROR(VLOOKUP(D51,Itens!$A$2:$E$51,2,FALSE),"")</f>
        <v/>
      </c>
      <c r="F51" t="str">
        <f>IFERROR(VLOOKUP(D51,Itens!$A$2:$E$51,4,FALSE),"")</f>
        <v/>
      </c>
      <c r="G51" t="str">
        <f>IFERROR(VLOOKUP(D51,Itens!$A$2:$E$51,3,FALSE),"")</f>
        <v/>
      </c>
      <c r="J51" t="str">
        <f t="shared" si="2"/>
        <v/>
      </c>
      <c r="M51" t="str">
        <f t="shared" si="3"/>
        <v/>
      </c>
    </row>
    <row r="52" spans="5:13" x14ac:dyDescent="0.25">
      <c r="E52" t="str">
        <f>IFERROR(VLOOKUP(D52,Itens!$A$2:$E$51,2,FALSE),"")</f>
        <v/>
      </c>
      <c r="F52" t="str">
        <f>IFERROR(VLOOKUP(D52,Itens!$A$2:$E$51,4,FALSE),"")</f>
        <v/>
      </c>
      <c r="G52" t="str">
        <f>IFERROR(VLOOKUP(D52,Itens!$A$2:$E$51,3,FALSE),"")</f>
        <v/>
      </c>
      <c r="J52" t="str">
        <f t="shared" si="2"/>
        <v/>
      </c>
      <c r="M52" t="str">
        <f t="shared" si="3"/>
        <v/>
      </c>
    </row>
    <row r="53" spans="5:13" x14ac:dyDescent="0.25">
      <c r="E53" t="str">
        <f>IFERROR(VLOOKUP(D53,Itens!$A$2:$E$51,2,FALSE),"")</f>
        <v/>
      </c>
      <c r="F53" t="str">
        <f>IFERROR(VLOOKUP(D53,Itens!$A$2:$E$51,4,FALSE),"")</f>
        <v/>
      </c>
      <c r="G53" t="str">
        <f>IFERROR(VLOOKUP(D53,Itens!$A$2:$E$51,3,FALSE),"")</f>
        <v/>
      </c>
      <c r="J53" t="str">
        <f t="shared" si="2"/>
        <v/>
      </c>
      <c r="M53" t="str">
        <f t="shared" si="3"/>
        <v/>
      </c>
    </row>
    <row r="54" spans="5:13" x14ac:dyDescent="0.25">
      <c r="E54" t="str">
        <f>IFERROR(VLOOKUP(D54,Itens!$A$2:$E$51,2,FALSE),"")</f>
        <v/>
      </c>
      <c r="F54" t="str">
        <f>IFERROR(VLOOKUP(D54,Itens!$A$2:$E$51,4,FALSE),"")</f>
        <v/>
      </c>
      <c r="G54" t="str">
        <f>IFERROR(VLOOKUP(D54,Itens!$A$2:$E$51,3,FALSE),"")</f>
        <v/>
      </c>
      <c r="J54" t="str">
        <f t="shared" si="2"/>
        <v/>
      </c>
      <c r="M54" t="str">
        <f t="shared" si="3"/>
        <v/>
      </c>
    </row>
    <row r="55" spans="5:13" x14ac:dyDescent="0.25">
      <c r="E55" t="str">
        <f>IFERROR(VLOOKUP(D55,Itens!$A$2:$E$51,2,FALSE),"")</f>
        <v/>
      </c>
      <c r="F55" t="str">
        <f>IFERROR(VLOOKUP(D55,Itens!$A$2:$E$51,4,FALSE),"")</f>
        <v/>
      </c>
      <c r="G55" t="str">
        <f>IFERROR(VLOOKUP(D55,Itens!$A$2:$E$51,3,FALSE),"")</f>
        <v/>
      </c>
      <c r="J55" t="str">
        <f t="shared" si="2"/>
        <v/>
      </c>
      <c r="M55" t="str">
        <f t="shared" si="3"/>
        <v/>
      </c>
    </row>
    <row r="56" spans="5:13" x14ac:dyDescent="0.25">
      <c r="E56" t="str">
        <f>IFERROR(VLOOKUP(D56,Itens!$A$2:$E$51,2,FALSE),"")</f>
        <v/>
      </c>
      <c r="F56" t="str">
        <f>IFERROR(VLOOKUP(D56,Itens!$A$2:$E$51,4,FALSE),"")</f>
        <v/>
      </c>
      <c r="G56" t="str">
        <f>IFERROR(VLOOKUP(D56,Itens!$A$2:$E$51,3,FALSE),"")</f>
        <v/>
      </c>
      <c r="J56" t="str">
        <f t="shared" si="2"/>
        <v/>
      </c>
      <c r="M56" t="str">
        <f t="shared" si="3"/>
        <v/>
      </c>
    </row>
    <row r="57" spans="5:13" x14ac:dyDescent="0.25">
      <c r="E57" t="str">
        <f>IFERROR(VLOOKUP(D57,Itens!$A$2:$E$51,2,FALSE),"")</f>
        <v/>
      </c>
      <c r="F57" t="str">
        <f>IFERROR(VLOOKUP(D57,Itens!$A$2:$E$51,4,FALSE),"")</f>
        <v/>
      </c>
      <c r="G57" t="str">
        <f>IFERROR(VLOOKUP(D57,Itens!$A$2:$E$51,3,FALSE),"")</f>
        <v/>
      </c>
      <c r="J57" t="str">
        <f t="shared" si="2"/>
        <v/>
      </c>
      <c r="M57" t="str">
        <f t="shared" si="3"/>
        <v/>
      </c>
    </row>
    <row r="58" spans="5:13" x14ac:dyDescent="0.25">
      <c r="E58" t="str">
        <f>IFERROR(VLOOKUP(D58,Itens!$A$2:$E$51,2,FALSE),"")</f>
        <v/>
      </c>
      <c r="F58" t="str">
        <f>IFERROR(VLOOKUP(D58,Itens!$A$2:$E$51,4,FALSE),"")</f>
        <v/>
      </c>
      <c r="G58" t="str">
        <f>IFERROR(VLOOKUP(D58,Itens!$A$2:$E$51,3,FALSE),"")</f>
        <v/>
      </c>
      <c r="J58" t="str">
        <f t="shared" si="2"/>
        <v/>
      </c>
      <c r="M58" t="str">
        <f t="shared" si="3"/>
        <v/>
      </c>
    </row>
    <row r="59" spans="5:13" x14ac:dyDescent="0.25">
      <c r="E59" t="str">
        <f>IFERROR(VLOOKUP(D59,Itens!$A$2:$E$51,2,FALSE),"")</f>
        <v/>
      </c>
      <c r="F59" t="str">
        <f>IFERROR(VLOOKUP(D59,Itens!$A$2:$E$51,4,FALSE),"")</f>
        <v/>
      </c>
      <c r="G59" t="str">
        <f>IFERROR(VLOOKUP(D59,Itens!$A$2:$E$51,3,FALSE),"")</f>
        <v/>
      </c>
      <c r="J59" t="str">
        <f t="shared" si="2"/>
        <v/>
      </c>
      <c r="M59" t="str">
        <f t="shared" si="3"/>
        <v/>
      </c>
    </row>
    <row r="60" spans="5:13" x14ac:dyDescent="0.25">
      <c r="E60" t="str">
        <f>IFERROR(VLOOKUP(D60,Itens!$A$2:$E$51,2,FALSE),"")</f>
        <v/>
      </c>
      <c r="F60" t="str">
        <f>IFERROR(VLOOKUP(D60,Itens!$A$2:$E$51,4,FALSE),"")</f>
        <v/>
      </c>
      <c r="G60" t="str">
        <f>IFERROR(VLOOKUP(D60,Itens!$A$2:$E$51,3,FALSE),"")</f>
        <v/>
      </c>
      <c r="J60" t="str">
        <f t="shared" si="2"/>
        <v/>
      </c>
      <c r="M60" t="str">
        <f t="shared" si="3"/>
        <v/>
      </c>
    </row>
    <row r="61" spans="5:13" x14ac:dyDescent="0.25">
      <c r="E61" t="str">
        <f>IFERROR(VLOOKUP(D61,Itens!$A$2:$E$51,2,FALSE),"")</f>
        <v/>
      </c>
      <c r="F61" t="str">
        <f>IFERROR(VLOOKUP(D61,Itens!$A$2:$E$51,4,FALSE),"")</f>
        <v/>
      </c>
      <c r="G61" t="str">
        <f>IFERROR(VLOOKUP(D61,Itens!$A$2:$E$51,3,FALSE),"")</f>
        <v/>
      </c>
      <c r="J61" t="str">
        <f t="shared" si="2"/>
        <v/>
      </c>
      <c r="M61" t="str">
        <f t="shared" si="3"/>
        <v/>
      </c>
    </row>
    <row r="62" spans="5:13" x14ac:dyDescent="0.25">
      <c r="E62" t="str">
        <f>IFERROR(VLOOKUP(D62,Itens!$A$2:$E$51,2,FALSE),"")</f>
        <v/>
      </c>
      <c r="F62" t="str">
        <f>IFERROR(VLOOKUP(D62,Itens!$A$2:$E$51,4,FALSE),"")</f>
        <v/>
      </c>
      <c r="G62" t="str">
        <f>IFERROR(VLOOKUP(D62,Itens!$A$2:$E$51,3,FALSE),"")</f>
        <v/>
      </c>
      <c r="J62" t="str">
        <f t="shared" si="2"/>
        <v/>
      </c>
      <c r="M62" t="str">
        <f t="shared" si="3"/>
        <v/>
      </c>
    </row>
    <row r="63" spans="5:13" x14ac:dyDescent="0.25">
      <c r="E63" t="str">
        <f>IFERROR(VLOOKUP(D63,Itens!$A$2:$E$51,2,FALSE),"")</f>
        <v/>
      </c>
      <c r="F63" t="str">
        <f>IFERROR(VLOOKUP(D63,Itens!$A$2:$E$51,4,FALSE),"")</f>
        <v/>
      </c>
      <c r="G63" t="str">
        <f>IFERROR(VLOOKUP(D63,Itens!$A$2:$E$51,3,FALSE),"")</f>
        <v/>
      </c>
      <c r="J63" t="str">
        <f t="shared" si="2"/>
        <v/>
      </c>
      <c r="M63" t="str">
        <f t="shared" si="3"/>
        <v/>
      </c>
    </row>
    <row r="64" spans="5:13" x14ac:dyDescent="0.25">
      <c r="E64" t="str">
        <f>IFERROR(VLOOKUP(D64,Itens!$A$2:$E$51,2,FALSE),"")</f>
        <v/>
      </c>
      <c r="F64" t="str">
        <f>IFERROR(VLOOKUP(D64,Itens!$A$2:$E$51,4,FALSE),"")</f>
        <v/>
      </c>
      <c r="G64" t="str">
        <f>IFERROR(VLOOKUP(D64,Itens!$A$2:$E$51,3,FALSE),"")</f>
        <v/>
      </c>
      <c r="J64" t="str">
        <f t="shared" si="2"/>
        <v/>
      </c>
      <c r="M64" t="str">
        <f t="shared" si="3"/>
        <v/>
      </c>
    </row>
    <row r="65" spans="5:13" x14ac:dyDescent="0.25">
      <c r="E65" t="str">
        <f>IFERROR(VLOOKUP(D65,Itens!$A$2:$E$51,2,FALSE),"")</f>
        <v/>
      </c>
      <c r="F65" t="str">
        <f>IFERROR(VLOOKUP(D65,Itens!$A$2:$E$51,4,FALSE),"")</f>
        <v/>
      </c>
      <c r="G65" t="str">
        <f>IFERROR(VLOOKUP(D65,Itens!$A$2:$E$51,3,FALSE),"")</f>
        <v/>
      </c>
      <c r="J65" t="str">
        <f t="shared" si="2"/>
        <v/>
      </c>
      <c r="M65" t="str">
        <f t="shared" si="3"/>
        <v/>
      </c>
    </row>
    <row r="66" spans="5:13" x14ac:dyDescent="0.25">
      <c r="E66" t="str">
        <f>IFERROR(VLOOKUP(D66,Itens!$A$2:$E$51,2,FALSE),"")</f>
        <v/>
      </c>
      <c r="F66" t="str">
        <f>IFERROR(VLOOKUP(D66,Itens!$A$2:$E$51,4,FALSE),"")</f>
        <v/>
      </c>
      <c r="G66" t="str">
        <f>IFERROR(VLOOKUP(D66,Itens!$A$2:$E$51,3,FALSE),"")</f>
        <v/>
      </c>
      <c r="J66" t="str">
        <f t="shared" ref="J66:J97" si="4">IF(H66="","",MAX(0,H66-IF(I66="",0,I66)))</f>
        <v/>
      </c>
      <c r="M66" t="str">
        <f t="shared" ref="M66:M97" si="5">IF(OR(J66="",L66=""),"",J66*L66)</f>
        <v/>
      </c>
    </row>
    <row r="67" spans="5:13" x14ac:dyDescent="0.25">
      <c r="E67" t="str">
        <f>IFERROR(VLOOKUP(D67,Itens!$A$2:$E$51,2,FALSE),"")</f>
        <v/>
      </c>
      <c r="F67" t="str">
        <f>IFERROR(VLOOKUP(D67,Itens!$A$2:$E$51,4,FALSE),"")</f>
        <v/>
      </c>
      <c r="G67" t="str">
        <f>IFERROR(VLOOKUP(D67,Itens!$A$2:$E$51,3,FALSE),"")</f>
        <v/>
      </c>
      <c r="J67" t="str">
        <f t="shared" si="4"/>
        <v/>
      </c>
      <c r="M67" t="str">
        <f t="shared" si="5"/>
        <v/>
      </c>
    </row>
    <row r="68" spans="5:13" x14ac:dyDescent="0.25">
      <c r="E68" t="str">
        <f>IFERROR(VLOOKUP(D68,Itens!$A$2:$E$51,2,FALSE),"")</f>
        <v/>
      </c>
      <c r="F68" t="str">
        <f>IFERROR(VLOOKUP(D68,Itens!$A$2:$E$51,4,FALSE),"")</f>
        <v/>
      </c>
      <c r="G68" t="str">
        <f>IFERROR(VLOOKUP(D68,Itens!$A$2:$E$51,3,FALSE),"")</f>
        <v/>
      </c>
      <c r="J68" t="str">
        <f t="shared" si="4"/>
        <v/>
      </c>
      <c r="M68" t="str">
        <f t="shared" si="5"/>
        <v/>
      </c>
    </row>
    <row r="69" spans="5:13" x14ac:dyDescent="0.25">
      <c r="E69" t="str">
        <f>IFERROR(VLOOKUP(D69,Itens!$A$2:$E$51,2,FALSE),"")</f>
        <v/>
      </c>
      <c r="F69" t="str">
        <f>IFERROR(VLOOKUP(D69,Itens!$A$2:$E$51,4,FALSE),"")</f>
        <v/>
      </c>
      <c r="G69" t="str">
        <f>IFERROR(VLOOKUP(D69,Itens!$A$2:$E$51,3,FALSE),"")</f>
        <v/>
      </c>
      <c r="J69" t="str">
        <f t="shared" si="4"/>
        <v/>
      </c>
      <c r="M69" t="str">
        <f t="shared" si="5"/>
        <v/>
      </c>
    </row>
    <row r="70" spans="5:13" x14ac:dyDescent="0.25">
      <c r="E70" t="str">
        <f>IFERROR(VLOOKUP(D70,Itens!$A$2:$E$51,2,FALSE),"")</f>
        <v/>
      </c>
      <c r="F70" t="str">
        <f>IFERROR(VLOOKUP(D70,Itens!$A$2:$E$51,4,FALSE),"")</f>
        <v/>
      </c>
      <c r="G70" t="str">
        <f>IFERROR(VLOOKUP(D70,Itens!$A$2:$E$51,3,FALSE),"")</f>
        <v/>
      </c>
      <c r="J70" t="str">
        <f t="shared" si="4"/>
        <v/>
      </c>
      <c r="M70" t="str">
        <f t="shared" si="5"/>
        <v/>
      </c>
    </row>
    <row r="71" spans="5:13" x14ac:dyDescent="0.25">
      <c r="E71" t="str">
        <f>IFERROR(VLOOKUP(D71,Itens!$A$2:$E$51,2,FALSE),"")</f>
        <v/>
      </c>
      <c r="F71" t="str">
        <f>IFERROR(VLOOKUP(D71,Itens!$A$2:$E$51,4,FALSE),"")</f>
        <v/>
      </c>
      <c r="G71" t="str">
        <f>IFERROR(VLOOKUP(D71,Itens!$A$2:$E$51,3,FALSE),"")</f>
        <v/>
      </c>
      <c r="J71" t="str">
        <f t="shared" si="4"/>
        <v/>
      </c>
      <c r="M71" t="str">
        <f t="shared" si="5"/>
        <v/>
      </c>
    </row>
    <row r="72" spans="5:13" x14ac:dyDescent="0.25">
      <c r="E72" t="str">
        <f>IFERROR(VLOOKUP(D72,Itens!$A$2:$E$51,2,FALSE),"")</f>
        <v/>
      </c>
      <c r="F72" t="str">
        <f>IFERROR(VLOOKUP(D72,Itens!$A$2:$E$51,4,FALSE),"")</f>
        <v/>
      </c>
      <c r="G72" t="str">
        <f>IFERROR(VLOOKUP(D72,Itens!$A$2:$E$51,3,FALSE),"")</f>
        <v/>
      </c>
      <c r="J72" t="str">
        <f t="shared" si="4"/>
        <v/>
      </c>
      <c r="M72" t="str">
        <f t="shared" si="5"/>
        <v/>
      </c>
    </row>
    <row r="73" spans="5:13" x14ac:dyDescent="0.25">
      <c r="E73" t="str">
        <f>IFERROR(VLOOKUP(D73,Itens!$A$2:$E$51,2,FALSE),"")</f>
        <v/>
      </c>
      <c r="F73" t="str">
        <f>IFERROR(VLOOKUP(D73,Itens!$A$2:$E$51,4,FALSE),"")</f>
        <v/>
      </c>
      <c r="G73" t="str">
        <f>IFERROR(VLOOKUP(D73,Itens!$A$2:$E$51,3,FALSE),"")</f>
        <v/>
      </c>
      <c r="J73" t="str">
        <f t="shared" si="4"/>
        <v/>
      </c>
      <c r="M73" t="str">
        <f t="shared" si="5"/>
        <v/>
      </c>
    </row>
    <row r="74" spans="5:13" x14ac:dyDescent="0.25">
      <c r="E74" t="str">
        <f>IFERROR(VLOOKUP(D74,Itens!$A$2:$E$51,2,FALSE),"")</f>
        <v/>
      </c>
      <c r="F74" t="str">
        <f>IFERROR(VLOOKUP(D74,Itens!$A$2:$E$51,4,FALSE),"")</f>
        <v/>
      </c>
      <c r="G74" t="str">
        <f>IFERROR(VLOOKUP(D74,Itens!$A$2:$E$51,3,FALSE),"")</f>
        <v/>
      </c>
      <c r="J74" t="str">
        <f t="shared" si="4"/>
        <v/>
      </c>
      <c r="M74" t="str">
        <f t="shared" si="5"/>
        <v/>
      </c>
    </row>
    <row r="75" spans="5:13" x14ac:dyDescent="0.25">
      <c r="E75" t="str">
        <f>IFERROR(VLOOKUP(D75,Itens!$A$2:$E$51,2,FALSE),"")</f>
        <v/>
      </c>
      <c r="F75" t="str">
        <f>IFERROR(VLOOKUP(D75,Itens!$A$2:$E$51,4,FALSE),"")</f>
        <v/>
      </c>
      <c r="G75" t="str">
        <f>IFERROR(VLOOKUP(D75,Itens!$A$2:$E$51,3,FALSE),"")</f>
        <v/>
      </c>
      <c r="J75" t="str">
        <f t="shared" si="4"/>
        <v/>
      </c>
      <c r="M75" t="str">
        <f t="shared" si="5"/>
        <v/>
      </c>
    </row>
    <row r="76" spans="5:13" x14ac:dyDescent="0.25">
      <c r="E76" t="str">
        <f>IFERROR(VLOOKUP(D76,Itens!$A$2:$E$51,2,FALSE),"")</f>
        <v/>
      </c>
      <c r="F76" t="str">
        <f>IFERROR(VLOOKUP(D76,Itens!$A$2:$E$51,4,FALSE),"")</f>
        <v/>
      </c>
      <c r="G76" t="str">
        <f>IFERROR(VLOOKUP(D76,Itens!$A$2:$E$51,3,FALSE),"")</f>
        <v/>
      </c>
      <c r="J76" t="str">
        <f t="shared" si="4"/>
        <v/>
      </c>
      <c r="M76" t="str">
        <f t="shared" si="5"/>
        <v/>
      </c>
    </row>
    <row r="77" spans="5:13" x14ac:dyDescent="0.25">
      <c r="E77" t="str">
        <f>IFERROR(VLOOKUP(D77,Itens!$A$2:$E$51,2,FALSE),"")</f>
        <v/>
      </c>
      <c r="F77" t="str">
        <f>IFERROR(VLOOKUP(D77,Itens!$A$2:$E$51,4,FALSE),"")</f>
        <v/>
      </c>
      <c r="G77" t="str">
        <f>IFERROR(VLOOKUP(D77,Itens!$A$2:$E$51,3,FALSE),"")</f>
        <v/>
      </c>
      <c r="J77" t="str">
        <f t="shared" si="4"/>
        <v/>
      </c>
      <c r="M77" t="str">
        <f t="shared" si="5"/>
        <v/>
      </c>
    </row>
    <row r="78" spans="5:13" x14ac:dyDescent="0.25">
      <c r="E78" t="str">
        <f>IFERROR(VLOOKUP(D78,Itens!$A$2:$E$51,2,FALSE),"")</f>
        <v/>
      </c>
      <c r="F78" t="str">
        <f>IFERROR(VLOOKUP(D78,Itens!$A$2:$E$51,4,FALSE),"")</f>
        <v/>
      </c>
      <c r="G78" t="str">
        <f>IFERROR(VLOOKUP(D78,Itens!$A$2:$E$51,3,FALSE),"")</f>
        <v/>
      </c>
      <c r="J78" t="str">
        <f t="shared" si="4"/>
        <v/>
      </c>
      <c r="M78" t="str">
        <f t="shared" si="5"/>
        <v/>
      </c>
    </row>
    <row r="79" spans="5:13" x14ac:dyDescent="0.25">
      <c r="E79" t="str">
        <f>IFERROR(VLOOKUP(D79,Itens!$A$2:$E$51,2,FALSE),"")</f>
        <v/>
      </c>
      <c r="F79" t="str">
        <f>IFERROR(VLOOKUP(D79,Itens!$A$2:$E$51,4,FALSE),"")</f>
        <v/>
      </c>
      <c r="G79" t="str">
        <f>IFERROR(VLOOKUP(D79,Itens!$A$2:$E$51,3,FALSE),"")</f>
        <v/>
      </c>
      <c r="J79" t="str">
        <f t="shared" si="4"/>
        <v/>
      </c>
      <c r="M79" t="str">
        <f t="shared" si="5"/>
        <v/>
      </c>
    </row>
    <row r="80" spans="5:13" x14ac:dyDescent="0.25">
      <c r="E80" t="str">
        <f>IFERROR(VLOOKUP(D80,Itens!$A$2:$E$51,2,FALSE),"")</f>
        <v/>
      </c>
      <c r="F80" t="str">
        <f>IFERROR(VLOOKUP(D80,Itens!$A$2:$E$51,4,FALSE),"")</f>
        <v/>
      </c>
      <c r="G80" t="str">
        <f>IFERROR(VLOOKUP(D80,Itens!$A$2:$E$51,3,FALSE),"")</f>
        <v/>
      </c>
      <c r="J80" t="str">
        <f t="shared" si="4"/>
        <v/>
      </c>
      <c r="M80" t="str">
        <f t="shared" si="5"/>
        <v/>
      </c>
    </row>
    <row r="81" spans="5:13" x14ac:dyDescent="0.25">
      <c r="E81" t="str">
        <f>IFERROR(VLOOKUP(D81,Itens!$A$2:$E$51,2,FALSE),"")</f>
        <v/>
      </c>
      <c r="F81" t="str">
        <f>IFERROR(VLOOKUP(D81,Itens!$A$2:$E$51,4,FALSE),"")</f>
        <v/>
      </c>
      <c r="G81" t="str">
        <f>IFERROR(VLOOKUP(D81,Itens!$A$2:$E$51,3,FALSE),"")</f>
        <v/>
      </c>
      <c r="J81" t="str">
        <f t="shared" si="4"/>
        <v/>
      </c>
      <c r="M81" t="str">
        <f t="shared" si="5"/>
        <v/>
      </c>
    </row>
    <row r="82" spans="5:13" x14ac:dyDescent="0.25">
      <c r="E82" t="str">
        <f>IFERROR(VLOOKUP(D82,Itens!$A$2:$E$51,2,FALSE),"")</f>
        <v/>
      </c>
      <c r="F82" t="str">
        <f>IFERROR(VLOOKUP(D82,Itens!$A$2:$E$51,4,FALSE),"")</f>
        <v/>
      </c>
      <c r="G82" t="str">
        <f>IFERROR(VLOOKUP(D82,Itens!$A$2:$E$51,3,FALSE),"")</f>
        <v/>
      </c>
      <c r="J82" t="str">
        <f t="shared" si="4"/>
        <v/>
      </c>
      <c r="M82" t="str">
        <f t="shared" si="5"/>
        <v/>
      </c>
    </row>
    <row r="83" spans="5:13" x14ac:dyDescent="0.25">
      <c r="E83" t="str">
        <f>IFERROR(VLOOKUP(D83,Itens!$A$2:$E$51,2,FALSE),"")</f>
        <v/>
      </c>
      <c r="F83" t="str">
        <f>IFERROR(VLOOKUP(D83,Itens!$A$2:$E$51,4,FALSE),"")</f>
        <v/>
      </c>
      <c r="G83" t="str">
        <f>IFERROR(VLOOKUP(D83,Itens!$A$2:$E$51,3,FALSE),"")</f>
        <v/>
      </c>
      <c r="J83" t="str">
        <f t="shared" si="4"/>
        <v/>
      </c>
      <c r="M83" t="str">
        <f t="shared" si="5"/>
        <v/>
      </c>
    </row>
    <row r="84" spans="5:13" x14ac:dyDescent="0.25">
      <c r="E84" t="str">
        <f>IFERROR(VLOOKUP(D84,Itens!$A$2:$E$51,2,FALSE),"")</f>
        <v/>
      </c>
      <c r="F84" t="str">
        <f>IFERROR(VLOOKUP(D84,Itens!$A$2:$E$51,4,FALSE),"")</f>
        <v/>
      </c>
      <c r="G84" t="str">
        <f>IFERROR(VLOOKUP(D84,Itens!$A$2:$E$51,3,FALSE),"")</f>
        <v/>
      </c>
      <c r="J84" t="str">
        <f t="shared" si="4"/>
        <v/>
      </c>
      <c r="M84" t="str">
        <f t="shared" si="5"/>
        <v/>
      </c>
    </row>
    <row r="85" spans="5:13" x14ac:dyDescent="0.25">
      <c r="E85" t="str">
        <f>IFERROR(VLOOKUP(D85,Itens!$A$2:$E$51,2,FALSE),"")</f>
        <v/>
      </c>
      <c r="F85" t="str">
        <f>IFERROR(VLOOKUP(D85,Itens!$A$2:$E$51,4,FALSE),"")</f>
        <v/>
      </c>
      <c r="G85" t="str">
        <f>IFERROR(VLOOKUP(D85,Itens!$A$2:$E$51,3,FALSE),"")</f>
        <v/>
      </c>
      <c r="J85" t="str">
        <f t="shared" si="4"/>
        <v/>
      </c>
      <c r="M85" t="str">
        <f t="shared" si="5"/>
        <v/>
      </c>
    </row>
    <row r="86" spans="5:13" x14ac:dyDescent="0.25">
      <c r="E86" t="str">
        <f>IFERROR(VLOOKUP(D86,Itens!$A$2:$E$51,2,FALSE),"")</f>
        <v/>
      </c>
      <c r="F86" t="str">
        <f>IFERROR(VLOOKUP(D86,Itens!$A$2:$E$51,4,FALSE),"")</f>
        <v/>
      </c>
      <c r="G86" t="str">
        <f>IFERROR(VLOOKUP(D86,Itens!$A$2:$E$51,3,FALSE),"")</f>
        <v/>
      </c>
      <c r="J86" t="str">
        <f t="shared" si="4"/>
        <v/>
      </c>
      <c r="M86" t="str">
        <f t="shared" si="5"/>
        <v/>
      </c>
    </row>
    <row r="87" spans="5:13" x14ac:dyDescent="0.25">
      <c r="E87" t="str">
        <f>IFERROR(VLOOKUP(D87,Itens!$A$2:$E$51,2,FALSE),"")</f>
        <v/>
      </c>
      <c r="F87" t="str">
        <f>IFERROR(VLOOKUP(D87,Itens!$A$2:$E$51,4,FALSE),"")</f>
        <v/>
      </c>
      <c r="G87" t="str">
        <f>IFERROR(VLOOKUP(D87,Itens!$A$2:$E$51,3,FALSE),"")</f>
        <v/>
      </c>
      <c r="J87" t="str">
        <f t="shared" si="4"/>
        <v/>
      </c>
      <c r="M87" t="str">
        <f t="shared" si="5"/>
        <v/>
      </c>
    </row>
    <row r="88" spans="5:13" x14ac:dyDescent="0.25">
      <c r="E88" t="str">
        <f>IFERROR(VLOOKUP(D88,Itens!$A$2:$E$51,2,FALSE),"")</f>
        <v/>
      </c>
      <c r="F88" t="str">
        <f>IFERROR(VLOOKUP(D88,Itens!$A$2:$E$51,4,FALSE),"")</f>
        <v/>
      </c>
      <c r="G88" t="str">
        <f>IFERROR(VLOOKUP(D88,Itens!$A$2:$E$51,3,FALSE),"")</f>
        <v/>
      </c>
      <c r="J88" t="str">
        <f t="shared" si="4"/>
        <v/>
      </c>
      <c r="M88" t="str">
        <f t="shared" si="5"/>
        <v/>
      </c>
    </row>
    <row r="89" spans="5:13" x14ac:dyDescent="0.25">
      <c r="E89" t="str">
        <f>IFERROR(VLOOKUP(D89,Itens!$A$2:$E$51,2,FALSE),"")</f>
        <v/>
      </c>
      <c r="F89" t="str">
        <f>IFERROR(VLOOKUP(D89,Itens!$A$2:$E$51,4,FALSE),"")</f>
        <v/>
      </c>
      <c r="G89" t="str">
        <f>IFERROR(VLOOKUP(D89,Itens!$A$2:$E$51,3,FALSE),"")</f>
        <v/>
      </c>
      <c r="J89" t="str">
        <f t="shared" si="4"/>
        <v/>
      </c>
      <c r="M89" t="str">
        <f t="shared" si="5"/>
        <v/>
      </c>
    </row>
    <row r="90" spans="5:13" x14ac:dyDescent="0.25">
      <c r="E90" t="str">
        <f>IFERROR(VLOOKUP(D90,Itens!$A$2:$E$51,2,FALSE),"")</f>
        <v/>
      </c>
      <c r="F90" t="str">
        <f>IFERROR(VLOOKUP(D90,Itens!$A$2:$E$51,4,FALSE),"")</f>
        <v/>
      </c>
      <c r="G90" t="str">
        <f>IFERROR(VLOOKUP(D90,Itens!$A$2:$E$51,3,FALSE),"")</f>
        <v/>
      </c>
      <c r="J90" t="str">
        <f t="shared" si="4"/>
        <v/>
      </c>
      <c r="M90" t="str">
        <f t="shared" si="5"/>
        <v/>
      </c>
    </row>
    <row r="91" spans="5:13" x14ac:dyDescent="0.25">
      <c r="E91" t="str">
        <f>IFERROR(VLOOKUP(D91,Itens!$A$2:$E$51,2,FALSE),"")</f>
        <v/>
      </c>
      <c r="F91" t="str">
        <f>IFERROR(VLOOKUP(D91,Itens!$A$2:$E$51,4,FALSE),"")</f>
        <v/>
      </c>
      <c r="G91" t="str">
        <f>IFERROR(VLOOKUP(D91,Itens!$A$2:$E$51,3,FALSE),"")</f>
        <v/>
      </c>
      <c r="J91" t="str">
        <f t="shared" si="4"/>
        <v/>
      </c>
      <c r="M91" t="str">
        <f t="shared" si="5"/>
        <v/>
      </c>
    </row>
    <row r="92" spans="5:13" x14ac:dyDescent="0.25">
      <c r="E92" t="str">
        <f>IFERROR(VLOOKUP(D92,Itens!$A$2:$E$51,2,FALSE),"")</f>
        <v/>
      </c>
      <c r="F92" t="str">
        <f>IFERROR(VLOOKUP(D92,Itens!$A$2:$E$51,4,FALSE),"")</f>
        <v/>
      </c>
      <c r="G92" t="str">
        <f>IFERROR(VLOOKUP(D92,Itens!$A$2:$E$51,3,FALSE),"")</f>
        <v/>
      </c>
      <c r="J92" t="str">
        <f t="shared" si="4"/>
        <v/>
      </c>
      <c r="M92" t="str">
        <f t="shared" si="5"/>
        <v/>
      </c>
    </row>
    <row r="93" spans="5:13" x14ac:dyDescent="0.25">
      <c r="E93" t="str">
        <f>IFERROR(VLOOKUP(D93,Itens!$A$2:$E$51,2,FALSE),"")</f>
        <v/>
      </c>
      <c r="F93" t="str">
        <f>IFERROR(VLOOKUP(D93,Itens!$A$2:$E$51,4,FALSE),"")</f>
        <v/>
      </c>
      <c r="G93" t="str">
        <f>IFERROR(VLOOKUP(D93,Itens!$A$2:$E$51,3,FALSE),"")</f>
        <v/>
      </c>
      <c r="J93" t="str">
        <f t="shared" si="4"/>
        <v/>
      </c>
      <c r="M93" t="str">
        <f t="shared" si="5"/>
        <v/>
      </c>
    </row>
    <row r="94" spans="5:13" x14ac:dyDescent="0.25">
      <c r="E94" t="str">
        <f>IFERROR(VLOOKUP(D94,Itens!$A$2:$E$51,2,FALSE),"")</f>
        <v/>
      </c>
      <c r="F94" t="str">
        <f>IFERROR(VLOOKUP(D94,Itens!$A$2:$E$51,4,FALSE),"")</f>
        <v/>
      </c>
      <c r="G94" t="str">
        <f>IFERROR(VLOOKUP(D94,Itens!$A$2:$E$51,3,FALSE),"")</f>
        <v/>
      </c>
      <c r="J94" t="str">
        <f t="shared" si="4"/>
        <v/>
      </c>
      <c r="M94" t="str">
        <f t="shared" si="5"/>
        <v/>
      </c>
    </row>
    <row r="95" spans="5:13" x14ac:dyDescent="0.25">
      <c r="E95" t="str">
        <f>IFERROR(VLOOKUP(D95,Itens!$A$2:$E$51,2,FALSE),"")</f>
        <v/>
      </c>
      <c r="F95" t="str">
        <f>IFERROR(VLOOKUP(D95,Itens!$A$2:$E$51,4,FALSE),"")</f>
        <v/>
      </c>
      <c r="G95" t="str">
        <f>IFERROR(VLOOKUP(D95,Itens!$A$2:$E$51,3,FALSE),"")</f>
        <v/>
      </c>
      <c r="J95" t="str">
        <f t="shared" si="4"/>
        <v/>
      </c>
      <c r="M95" t="str">
        <f t="shared" si="5"/>
        <v/>
      </c>
    </row>
    <row r="96" spans="5:13" x14ac:dyDescent="0.25">
      <c r="E96" t="str">
        <f>IFERROR(VLOOKUP(D96,Itens!$A$2:$E$51,2,FALSE),"")</f>
        <v/>
      </c>
      <c r="F96" t="str">
        <f>IFERROR(VLOOKUP(D96,Itens!$A$2:$E$51,4,FALSE),"")</f>
        <v/>
      </c>
      <c r="G96" t="str">
        <f>IFERROR(VLOOKUP(D96,Itens!$A$2:$E$51,3,FALSE),"")</f>
        <v/>
      </c>
      <c r="J96" t="str">
        <f t="shared" si="4"/>
        <v/>
      </c>
      <c r="M96" t="str">
        <f t="shared" si="5"/>
        <v/>
      </c>
    </row>
    <row r="97" spans="5:13" x14ac:dyDescent="0.25">
      <c r="E97" t="str">
        <f>IFERROR(VLOOKUP(D97,Itens!$A$2:$E$51,2,FALSE),"")</f>
        <v/>
      </c>
      <c r="F97" t="str">
        <f>IFERROR(VLOOKUP(D97,Itens!$A$2:$E$51,4,FALSE),"")</f>
        <v/>
      </c>
      <c r="G97" t="str">
        <f>IFERROR(VLOOKUP(D97,Itens!$A$2:$E$51,3,FALSE),"")</f>
        <v/>
      </c>
      <c r="J97" t="str">
        <f t="shared" si="4"/>
        <v/>
      </c>
      <c r="M97" t="str">
        <f t="shared" si="5"/>
        <v/>
      </c>
    </row>
    <row r="98" spans="5:13" x14ac:dyDescent="0.25">
      <c r="E98" t="str">
        <f>IFERROR(VLOOKUP(D98,Itens!$A$2:$E$51,2,FALSE),"")</f>
        <v/>
      </c>
      <c r="F98" t="str">
        <f>IFERROR(VLOOKUP(D98,Itens!$A$2:$E$51,4,FALSE),"")</f>
        <v/>
      </c>
      <c r="G98" t="str">
        <f>IFERROR(VLOOKUP(D98,Itens!$A$2:$E$51,3,FALSE),"")</f>
        <v/>
      </c>
      <c r="J98" t="str">
        <f t="shared" ref="J98:J121" si="6">IF(H98="","",MAX(0,H98-IF(I98="",0,I98)))</f>
        <v/>
      </c>
      <c r="M98" t="str">
        <f t="shared" ref="M98:M121" si="7">IF(OR(J98="",L98=""),"",J98*L98)</f>
        <v/>
      </c>
    </row>
    <row r="99" spans="5:13" x14ac:dyDescent="0.25">
      <c r="E99" t="str">
        <f>IFERROR(VLOOKUP(D99,Itens!$A$2:$E$51,2,FALSE),"")</f>
        <v/>
      </c>
      <c r="F99" t="str">
        <f>IFERROR(VLOOKUP(D99,Itens!$A$2:$E$51,4,FALSE),"")</f>
        <v/>
      </c>
      <c r="G99" t="str">
        <f>IFERROR(VLOOKUP(D99,Itens!$A$2:$E$51,3,FALSE),"")</f>
        <v/>
      </c>
      <c r="J99" t="str">
        <f t="shared" si="6"/>
        <v/>
      </c>
      <c r="M99" t="str">
        <f t="shared" si="7"/>
        <v/>
      </c>
    </row>
    <row r="100" spans="5:13" x14ac:dyDescent="0.25">
      <c r="E100" t="str">
        <f>IFERROR(VLOOKUP(D100,Itens!$A$2:$E$51,2,FALSE),"")</f>
        <v/>
      </c>
      <c r="F100" t="str">
        <f>IFERROR(VLOOKUP(D100,Itens!$A$2:$E$51,4,FALSE),"")</f>
        <v/>
      </c>
      <c r="G100" t="str">
        <f>IFERROR(VLOOKUP(D100,Itens!$A$2:$E$51,3,FALSE),"")</f>
        <v/>
      </c>
      <c r="J100" t="str">
        <f t="shared" si="6"/>
        <v/>
      </c>
      <c r="M100" t="str">
        <f t="shared" si="7"/>
        <v/>
      </c>
    </row>
    <row r="101" spans="5:13" x14ac:dyDescent="0.25">
      <c r="E101" t="str">
        <f>IFERROR(VLOOKUP(D101,Itens!$A$2:$E$51,2,FALSE),"")</f>
        <v/>
      </c>
      <c r="F101" t="str">
        <f>IFERROR(VLOOKUP(D101,Itens!$A$2:$E$51,4,FALSE),"")</f>
        <v/>
      </c>
      <c r="G101" t="str">
        <f>IFERROR(VLOOKUP(D101,Itens!$A$2:$E$51,3,FALSE),"")</f>
        <v/>
      </c>
      <c r="J101" t="str">
        <f t="shared" si="6"/>
        <v/>
      </c>
      <c r="M101" t="str">
        <f t="shared" si="7"/>
        <v/>
      </c>
    </row>
    <row r="102" spans="5:13" x14ac:dyDescent="0.25">
      <c r="E102" t="str">
        <f>IFERROR(VLOOKUP(D102,Itens!$A$2:$E$51,2,FALSE),"")</f>
        <v/>
      </c>
      <c r="F102" t="str">
        <f>IFERROR(VLOOKUP(D102,Itens!$A$2:$E$51,4,FALSE),"")</f>
        <v/>
      </c>
      <c r="G102" t="str">
        <f>IFERROR(VLOOKUP(D102,Itens!$A$2:$E$51,3,FALSE),"")</f>
        <v/>
      </c>
      <c r="J102" t="str">
        <f t="shared" si="6"/>
        <v/>
      </c>
      <c r="M102" t="str">
        <f t="shared" si="7"/>
        <v/>
      </c>
    </row>
    <row r="103" spans="5:13" x14ac:dyDescent="0.25">
      <c r="E103" t="str">
        <f>IFERROR(VLOOKUP(D103,Itens!$A$2:$E$51,2,FALSE),"")</f>
        <v/>
      </c>
      <c r="F103" t="str">
        <f>IFERROR(VLOOKUP(D103,Itens!$A$2:$E$51,4,FALSE),"")</f>
        <v/>
      </c>
      <c r="G103" t="str">
        <f>IFERROR(VLOOKUP(D103,Itens!$A$2:$E$51,3,FALSE),"")</f>
        <v/>
      </c>
      <c r="J103" t="str">
        <f t="shared" si="6"/>
        <v/>
      </c>
      <c r="M103" t="str">
        <f t="shared" si="7"/>
        <v/>
      </c>
    </row>
    <row r="104" spans="5:13" x14ac:dyDescent="0.25">
      <c r="E104" t="str">
        <f>IFERROR(VLOOKUP(D104,Itens!$A$2:$E$51,2,FALSE),"")</f>
        <v/>
      </c>
      <c r="F104" t="str">
        <f>IFERROR(VLOOKUP(D104,Itens!$A$2:$E$51,4,FALSE),"")</f>
        <v/>
      </c>
      <c r="G104" t="str">
        <f>IFERROR(VLOOKUP(D104,Itens!$A$2:$E$51,3,FALSE),"")</f>
        <v/>
      </c>
      <c r="J104" t="str">
        <f t="shared" si="6"/>
        <v/>
      </c>
      <c r="M104" t="str">
        <f t="shared" si="7"/>
        <v/>
      </c>
    </row>
    <row r="105" spans="5:13" x14ac:dyDescent="0.25">
      <c r="E105" t="str">
        <f>IFERROR(VLOOKUP(D105,Itens!$A$2:$E$51,2,FALSE),"")</f>
        <v/>
      </c>
      <c r="F105" t="str">
        <f>IFERROR(VLOOKUP(D105,Itens!$A$2:$E$51,4,FALSE),"")</f>
        <v/>
      </c>
      <c r="G105" t="str">
        <f>IFERROR(VLOOKUP(D105,Itens!$A$2:$E$51,3,FALSE),"")</f>
        <v/>
      </c>
      <c r="J105" t="str">
        <f t="shared" si="6"/>
        <v/>
      </c>
      <c r="M105" t="str">
        <f t="shared" si="7"/>
        <v/>
      </c>
    </row>
    <row r="106" spans="5:13" x14ac:dyDescent="0.25">
      <c r="E106" t="str">
        <f>IFERROR(VLOOKUP(D106,Itens!$A$2:$E$51,2,FALSE),"")</f>
        <v/>
      </c>
      <c r="F106" t="str">
        <f>IFERROR(VLOOKUP(D106,Itens!$A$2:$E$51,4,FALSE),"")</f>
        <v/>
      </c>
      <c r="G106" t="str">
        <f>IFERROR(VLOOKUP(D106,Itens!$A$2:$E$51,3,FALSE),"")</f>
        <v/>
      </c>
      <c r="J106" t="str">
        <f t="shared" si="6"/>
        <v/>
      </c>
      <c r="M106" t="str">
        <f t="shared" si="7"/>
        <v/>
      </c>
    </row>
    <row r="107" spans="5:13" x14ac:dyDescent="0.25">
      <c r="E107" t="str">
        <f>IFERROR(VLOOKUP(D107,Itens!$A$2:$E$51,2,FALSE),"")</f>
        <v/>
      </c>
      <c r="F107" t="str">
        <f>IFERROR(VLOOKUP(D107,Itens!$A$2:$E$51,4,FALSE),"")</f>
        <v/>
      </c>
      <c r="G107" t="str">
        <f>IFERROR(VLOOKUP(D107,Itens!$A$2:$E$51,3,FALSE),"")</f>
        <v/>
      </c>
      <c r="J107" t="str">
        <f t="shared" si="6"/>
        <v/>
      </c>
      <c r="M107" t="str">
        <f t="shared" si="7"/>
        <v/>
      </c>
    </row>
    <row r="108" spans="5:13" x14ac:dyDescent="0.25">
      <c r="E108" t="str">
        <f>IFERROR(VLOOKUP(D108,Itens!$A$2:$E$51,2,FALSE),"")</f>
        <v/>
      </c>
      <c r="F108" t="str">
        <f>IFERROR(VLOOKUP(D108,Itens!$A$2:$E$51,4,FALSE),"")</f>
        <v/>
      </c>
      <c r="G108" t="str">
        <f>IFERROR(VLOOKUP(D108,Itens!$A$2:$E$51,3,FALSE),"")</f>
        <v/>
      </c>
      <c r="J108" t="str">
        <f t="shared" si="6"/>
        <v/>
      </c>
      <c r="M108" t="str">
        <f t="shared" si="7"/>
        <v/>
      </c>
    </row>
    <row r="109" spans="5:13" x14ac:dyDescent="0.25">
      <c r="E109" t="str">
        <f>IFERROR(VLOOKUP(D109,Itens!$A$2:$E$51,2,FALSE),"")</f>
        <v/>
      </c>
      <c r="F109" t="str">
        <f>IFERROR(VLOOKUP(D109,Itens!$A$2:$E$51,4,FALSE),"")</f>
        <v/>
      </c>
      <c r="G109" t="str">
        <f>IFERROR(VLOOKUP(D109,Itens!$A$2:$E$51,3,FALSE),"")</f>
        <v/>
      </c>
      <c r="J109" t="str">
        <f t="shared" si="6"/>
        <v/>
      </c>
      <c r="M109" t="str">
        <f t="shared" si="7"/>
        <v/>
      </c>
    </row>
    <row r="110" spans="5:13" x14ac:dyDescent="0.25">
      <c r="E110" t="str">
        <f>IFERROR(VLOOKUP(D110,Itens!$A$2:$E$51,2,FALSE),"")</f>
        <v/>
      </c>
      <c r="F110" t="str">
        <f>IFERROR(VLOOKUP(D110,Itens!$A$2:$E$51,4,FALSE),"")</f>
        <v/>
      </c>
      <c r="G110" t="str">
        <f>IFERROR(VLOOKUP(D110,Itens!$A$2:$E$51,3,FALSE),"")</f>
        <v/>
      </c>
      <c r="J110" t="str">
        <f t="shared" si="6"/>
        <v/>
      </c>
      <c r="M110" t="str">
        <f t="shared" si="7"/>
        <v/>
      </c>
    </row>
    <row r="111" spans="5:13" x14ac:dyDescent="0.25">
      <c r="E111" t="str">
        <f>IFERROR(VLOOKUP(D111,Itens!$A$2:$E$51,2,FALSE),"")</f>
        <v/>
      </c>
      <c r="F111" t="str">
        <f>IFERROR(VLOOKUP(D111,Itens!$A$2:$E$51,4,FALSE),"")</f>
        <v/>
      </c>
      <c r="G111" t="str">
        <f>IFERROR(VLOOKUP(D111,Itens!$A$2:$E$51,3,FALSE),"")</f>
        <v/>
      </c>
      <c r="J111" t="str">
        <f t="shared" si="6"/>
        <v/>
      </c>
      <c r="M111" t="str">
        <f t="shared" si="7"/>
        <v/>
      </c>
    </row>
    <row r="112" spans="5:13" x14ac:dyDescent="0.25">
      <c r="E112" t="str">
        <f>IFERROR(VLOOKUP(D112,Itens!$A$2:$E$51,2,FALSE),"")</f>
        <v/>
      </c>
      <c r="F112" t="str">
        <f>IFERROR(VLOOKUP(D112,Itens!$A$2:$E$51,4,FALSE),"")</f>
        <v/>
      </c>
      <c r="G112" t="str">
        <f>IFERROR(VLOOKUP(D112,Itens!$A$2:$E$51,3,FALSE),"")</f>
        <v/>
      </c>
      <c r="J112" t="str">
        <f t="shared" si="6"/>
        <v/>
      </c>
      <c r="M112" t="str">
        <f t="shared" si="7"/>
        <v/>
      </c>
    </row>
    <row r="113" spans="5:13" x14ac:dyDescent="0.25">
      <c r="E113" t="str">
        <f>IFERROR(VLOOKUP(D113,Itens!$A$2:$E$51,2,FALSE),"")</f>
        <v/>
      </c>
      <c r="F113" t="str">
        <f>IFERROR(VLOOKUP(D113,Itens!$A$2:$E$51,4,FALSE),"")</f>
        <v/>
      </c>
      <c r="G113" t="str">
        <f>IFERROR(VLOOKUP(D113,Itens!$A$2:$E$51,3,FALSE),"")</f>
        <v/>
      </c>
      <c r="J113" t="str">
        <f t="shared" si="6"/>
        <v/>
      </c>
      <c r="M113" t="str">
        <f t="shared" si="7"/>
        <v/>
      </c>
    </row>
    <row r="114" spans="5:13" x14ac:dyDescent="0.25">
      <c r="E114" t="str">
        <f>IFERROR(VLOOKUP(D114,Itens!$A$2:$E$51,2,FALSE),"")</f>
        <v/>
      </c>
      <c r="F114" t="str">
        <f>IFERROR(VLOOKUP(D114,Itens!$A$2:$E$51,4,FALSE),"")</f>
        <v/>
      </c>
      <c r="G114" t="str">
        <f>IFERROR(VLOOKUP(D114,Itens!$A$2:$E$51,3,FALSE),"")</f>
        <v/>
      </c>
      <c r="J114" t="str">
        <f t="shared" si="6"/>
        <v/>
      </c>
      <c r="M114" t="str">
        <f t="shared" si="7"/>
        <v/>
      </c>
    </row>
    <row r="115" spans="5:13" x14ac:dyDescent="0.25">
      <c r="E115" t="str">
        <f>IFERROR(VLOOKUP(D115,Itens!$A$2:$E$51,2,FALSE),"")</f>
        <v/>
      </c>
      <c r="F115" t="str">
        <f>IFERROR(VLOOKUP(D115,Itens!$A$2:$E$51,4,FALSE),"")</f>
        <v/>
      </c>
      <c r="G115" t="str">
        <f>IFERROR(VLOOKUP(D115,Itens!$A$2:$E$51,3,FALSE),"")</f>
        <v/>
      </c>
      <c r="J115" t="str">
        <f t="shared" si="6"/>
        <v/>
      </c>
      <c r="M115" t="str">
        <f t="shared" si="7"/>
        <v/>
      </c>
    </row>
    <row r="116" spans="5:13" x14ac:dyDescent="0.25">
      <c r="E116" t="str">
        <f>IFERROR(VLOOKUP(D116,Itens!$A$2:$E$51,2,FALSE),"")</f>
        <v/>
      </c>
      <c r="F116" t="str">
        <f>IFERROR(VLOOKUP(D116,Itens!$A$2:$E$51,4,FALSE),"")</f>
        <v/>
      </c>
      <c r="G116" t="str">
        <f>IFERROR(VLOOKUP(D116,Itens!$A$2:$E$51,3,FALSE),"")</f>
        <v/>
      </c>
      <c r="J116" t="str">
        <f t="shared" si="6"/>
        <v/>
      </c>
      <c r="M116" t="str">
        <f t="shared" si="7"/>
        <v/>
      </c>
    </row>
    <row r="117" spans="5:13" x14ac:dyDescent="0.25">
      <c r="E117" t="str">
        <f>IFERROR(VLOOKUP(D117,Itens!$A$2:$E$51,2,FALSE),"")</f>
        <v/>
      </c>
      <c r="F117" t="str">
        <f>IFERROR(VLOOKUP(D117,Itens!$A$2:$E$51,4,FALSE),"")</f>
        <v/>
      </c>
      <c r="G117" t="str">
        <f>IFERROR(VLOOKUP(D117,Itens!$A$2:$E$51,3,FALSE),"")</f>
        <v/>
      </c>
      <c r="J117" t="str">
        <f t="shared" si="6"/>
        <v/>
      </c>
      <c r="M117" t="str">
        <f t="shared" si="7"/>
        <v/>
      </c>
    </row>
    <row r="118" spans="5:13" x14ac:dyDescent="0.25">
      <c r="E118" t="str">
        <f>IFERROR(VLOOKUP(D118,Itens!$A$2:$E$51,2,FALSE),"")</f>
        <v/>
      </c>
      <c r="F118" t="str">
        <f>IFERROR(VLOOKUP(D118,Itens!$A$2:$E$51,4,FALSE),"")</f>
        <v/>
      </c>
      <c r="G118" t="str">
        <f>IFERROR(VLOOKUP(D118,Itens!$A$2:$E$51,3,FALSE),"")</f>
        <v/>
      </c>
      <c r="J118" t="str">
        <f t="shared" si="6"/>
        <v/>
      </c>
      <c r="M118" t="str">
        <f t="shared" si="7"/>
        <v/>
      </c>
    </row>
    <row r="119" spans="5:13" x14ac:dyDescent="0.25">
      <c r="E119" t="str">
        <f>IFERROR(VLOOKUP(D119,Itens!$A$2:$E$51,2,FALSE),"")</f>
        <v/>
      </c>
      <c r="F119" t="str">
        <f>IFERROR(VLOOKUP(D119,Itens!$A$2:$E$51,4,FALSE),"")</f>
        <v/>
      </c>
      <c r="G119" t="str">
        <f>IFERROR(VLOOKUP(D119,Itens!$A$2:$E$51,3,FALSE),"")</f>
        <v/>
      </c>
      <c r="J119" t="str">
        <f t="shared" si="6"/>
        <v/>
      </c>
      <c r="M119" t="str">
        <f t="shared" si="7"/>
        <v/>
      </c>
    </row>
    <row r="120" spans="5:13" x14ac:dyDescent="0.25">
      <c r="E120" t="str">
        <f>IFERROR(VLOOKUP(D120,Itens!$A$2:$E$51,2,FALSE),"")</f>
        <v/>
      </c>
      <c r="F120" t="str">
        <f>IFERROR(VLOOKUP(D120,Itens!$A$2:$E$51,4,FALSE),"")</f>
        <v/>
      </c>
      <c r="G120" t="str">
        <f>IFERROR(VLOOKUP(D120,Itens!$A$2:$E$51,3,FALSE),"")</f>
        <v/>
      </c>
      <c r="J120" t="str">
        <f t="shared" si="6"/>
        <v/>
      </c>
      <c r="M120" t="str">
        <f t="shared" si="7"/>
        <v/>
      </c>
    </row>
    <row r="121" spans="5:13" x14ac:dyDescent="0.25">
      <c r="E121" t="str">
        <f>IFERROR(VLOOKUP(D121,Itens!$A$2:$E$51,2,FALSE),"")</f>
        <v/>
      </c>
      <c r="F121" t="str">
        <f>IFERROR(VLOOKUP(D121,Itens!$A$2:$E$51,4,FALSE),"")</f>
        <v/>
      </c>
      <c r="G121" t="str">
        <f>IFERROR(VLOOKUP(D121,Itens!$A$2:$E$51,3,FALSE),"")</f>
        <v/>
      </c>
      <c r="J121" t="str">
        <f t="shared" si="6"/>
        <v/>
      </c>
      <c r="M121" t="str">
        <f t="shared" si="7"/>
        <v/>
      </c>
    </row>
  </sheetData>
  <conditionalFormatting sqref="K1:K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{7B9253CF-41EC-4186-AB4D-F3C669017C2E}</x14:id>
        </ext>
      </extLst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9253CF-41EC-4186-AB4D-F3C669017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Itens!$A$2:$A$51</xm:f>
          </x14:formula1>
          <xm:sqref>D2:D121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N51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P8" sqref="P8"/>
    </sheetView>
  </sheetViews>
  <sheetFormatPr defaultRowHeight="15" x14ac:dyDescent="0.25"/>
  <cols>
    <col min="1" max="1" width="15" customWidth="1"/>
    <col min="2" max="2" width="48.42578125" bestFit="1" customWidth="1"/>
    <col min="3" max="3" width="21" bestFit="1" customWidth="1"/>
    <col min="4" max="4" width="21.5703125" customWidth="1"/>
    <col min="5" max="5" width="13.140625" style="1" bestFit="1" customWidth="1"/>
    <col min="6" max="6" width="21" style="12" bestFit="1" customWidth="1"/>
    <col min="7" max="7" width="13.140625" style="1" bestFit="1" customWidth="1"/>
    <col min="8" max="8" width="11.140625" style="1" bestFit="1" customWidth="1"/>
    <col min="9" max="9" width="18" style="1" bestFit="1" customWidth="1"/>
    <col min="10" max="10" width="13.85546875" style="16" bestFit="1" customWidth="1"/>
    <col min="11" max="11" width="25.42578125" style="12" bestFit="1" customWidth="1"/>
    <col min="12" max="12" width="23" style="1" bestFit="1" customWidth="1"/>
    <col min="13" max="13" width="21" style="1" bestFit="1" customWidth="1"/>
    <col min="14" max="14" width="23.28515625" style="12" bestFit="1" customWidth="1"/>
  </cols>
  <sheetData>
    <row r="1" spans="1:14" ht="20.100000000000001" customHeight="1" x14ac:dyDescent="0.25">
      <c r="A1" s="17" t="s">
        <v>320</v>
      </c>
      <c r="B1" s="17" t="s">
        <v>0</v>
      </c>
      <c r="C1" s="4" t="s">
        <v>2</v>
      </c>
      <c r="D1" s="4" t="s">
        <v>316</v>
      </c>
      <c r="E1" s="22" t="s">
        <v>1</v>
      </c>
      <c r="F1" s="23" t="s">
        <v>243</v>
      </c>
      <c r="G1" s="22" t="s">
        <v>244</v>
      </c>
      <c r="H1" s="22" t="s">
        <v>245</v>
      </c>
      <c r="I1" s="22" t="s">
        <v>246</v>
      </c>
      <c r="J1" s="24" t="s">
        <v>275</v>
      </c>
      <c r="K1" s="23" t="s">
        <v>247</v>
      </c>
      <c r="L1" s="22" t="s">
        <v>248</v>
      </c>
      <c r="M1" s="22" t="s">
        <v>249</v>
      </c>
      <c r="N1" s="23" t="s">
        <v>250</v>
      </c>
    </row>
    <row r="2" spans="1:14" x14ac:dyDescent="0.25">
      <c r="A2" s="18" t="s">
        <v>4</v>
      </c>
      <c r="B2" s="20" t="str">
        <f>VLOOKUP(Tabela4[[#This Row],[COD_ID]],Itens!A:B,2,0)</f>
        <v>Glifosato 480 SL</v>
      </c>
      <c r="C2" s="19" t="s">
        <v>6</v>
      </c>
      <c r="D2" s="21" t="s">
        <v>317</v>
      </c>
      <c r="E2" s="25" t="s">
        <v>5</v>
      </c>
      <c r="F2" s="26">
        <f>IFERROR(VLOOKUP(A2,Itens!$A$2:$E$51,5,FALSE),0)</f>
        <v>22</v>
      </c>
      <c r="G2" s="25">
        <f>SUMIFS(Entradas!$H$2:$H$48,Entradas!$D$2:$D$48,A2)</f>
        <v>150</v>
      </c>
      <c r="H2" s="25">
        <f>SUMIFS(Saidas!$H$2:$H$71,Saidas!$D$2:$D$71,A2)</f>
        <v>102.59</v>
      </c>
      <c r="I2" s="25">
        <f t="shared" ref="I2:I33" si="0">G2-H2</f>
        <v>47.41</v>
      </c>
      <c r="J2" s="27">
        <f>IFERROR(Tabela4[[#This Row],[Estoque Atual]]/Tabela4[[#This Row],[Entradas]],0)</f>
        <v>0.31606666666666666</v>
      </c>
      <c r="K2" s="26">
        <f t="shared" ref="K2:K33" si="1">I2*F2</f>
        <v>1043.02</v>
      </c>
      <c r="L2" s="25">
        <f>SUMIFS(Pedidos_Compra!$J$2:$J$121,Pedidos_Compra!$D$2:$D$121,A2)</f>
        <v>0</v>
      </c>
      <c r="M2" s="25">
        <f t="shared" ref="M2:M33" si="2">I2+L2</f>
        <v>47.41</v>
      </c>
      <c r="N2" s="26">
        <f t="shared" ref="N2:N33" si="3">M2*F2</f>
        <v>1043.02</v>
      </c>
    </row>
    <row r="3" spans="1:14" x14ac:dyDescent="0.25">
      <c r="A3" s="18" t="s">
        <v>7</v>
      </c>
      <c r="B3" s="20" t="str">
        <f>VLOOKUP(Tabela4[[#This Row],[COD_ID]],Itens!A:B,2,0)</f>
        <v>2,4-D (sal amina)</v>
      </c>
      <c r="C3" s="19" t="s">
        <v>6</v>
      </c>
      <c r="D3" s="21" t="s">
        <v>317</v>
      </c>
      <c r="E3" s="25" t="s">
        <v>5</v>
      </c>
      <c r="F3" s="26">
        <f>IFERROR(VLOOKUP(A3,Itens!$A$2:$E$51,5,FALSE),0)</f>
        <v>18</v>
      </c>
      <c r="G3" s="25">
        <f>SUMIFS(Entradas!$H$2:$H$48,Entradas!$D$2:$D$48,A3)</f>
        <v>250</v>
      </c>
      <c r="H3" s="25">
        <f>SUMIFS(Saidas!$H$2:$H$71,Saidas!$D$2:$D$71,A3)</f>
        <v>166.78</v>
      </c>
      <c r="I3" s="25">
        <f t="shared" si="0"/>
        <v>83.22</v>
      </c>
      <c r="J3" s="27">
        <f>IFERROR(Tabela4[[#This Row],[Estoque Atual]]/Tabela4[[#This Row],[Entradas]],0)</f>
        <v>0.33288000000000001</v>
      </c>
      <c r="K3" s="26">
        <f t="shared" si="1"/>
        <v>1497.96</v>
      </c>
      <c r="L3" s="25">
        <f>SUMIFS(Pedidos_Compra!$J$2:$J$121,Pedidos_Compra!$D$2:$D$121,A3)</f>
        <v>80</v>
      </c>
      <c r="M3" s="25">
        <f t="shared" si="2"/>
        <v>163.22</v>
      </c>
      <c r="N3" s="26">
        <f t="shared" si="3"/>
        <v>2937.96</v>
      </c>
    </row>
    <row r="4" spans="1:14" x14ac:dyDescent="0.25">
      <c r="A4" s="18" t="s">
        <v>8</v>
      </c>
      <c r="B4" s="20" t="str">
        <f>VLOOKUP(Tabela4[[#This Row],[COD_ID]],Itens!A:B,2,0)</f>
        <v>Atrazina 500 SC</v>
      </c>
      <c r="C4" s="19" t="s">
        <v>6</v>
      </c>
      <c r="D4" s="21" t="s">
        <v>317</v>
      </c>
      <c r="E4" s="25" t="s">
        <v>5</v>
      </c>
      <c r="F4" s="26">
        <f>IFERROR(VLOOKUP(A4,Itens!$A$2:$E$51,5,FALSE),0)</f>
        <v>24</v>
      </c>
      <c r="G4" s="25">
        <f>SUMIFS(Entradas!$H$2:$H$48,Entradas!$D$2:$D$48,A4)</f>
        <v>50</v>
      </c>
      <c r="H4" s="25">
        <f>SUMIFS(Saidas!$H$2:$H$71,Saidas!$D$2:$D$71,A4)</f>
        <v>20.770000000000003</v>
      </c>
      <c r="I4" s="25">
        <f t="shared" si="0"/>
        <v>29.229999999999997</v>
      </c>
      <c r="J4" s="27">
        <f>IFERROR(Tabela4[[#This Row],[Estoque Atual]]/Tabela4[[#This Row],[Entradas]],0)</f>
        <v>0.5845999999999999</v>
      </c>
      <c r="K4" s="26">
        <f t="shared" si="1"/>
        <v>701.52</v>
      </c>
      <c r="L4" s="25">
        <f>SUMIFS(Pedidos_Compra!$J$2:$J$121,Pedidos_Compra!$D$2:$D$121,A4)</f>
        <v>150</v>
      </c>
      <c r="M4" s="25">
        <f t="shared" si="2"/>
        <v>179.23</v>
      </c>
      <c r="N4" s="26">
        <f t="shared" si="3"/>
        <v>4301.5199999999995</v>
      </c>
    </row>
    <row r="5" spans="1:14" x14ac:dyDescent="0.25">
      <c r="A5" s="18" t="s">
        <v>9</v>
      </c>
      <c r="B5" s="20" t="str">
        <f>VLOOKUP(Tabela4[[#This Row],[COD_ID]],Itens!A:B,2,0)</f>
        <v>Hexazinona 250 SC</v>
      </c>
      <c r="C5" s="19" t="s">
        <v>6</v>
      </c>
      <c r="D5" s="21" t="s">
        <v>317</v>
      </c>
      <c r="E5" s="25" t="s">
        <v>5</v>
      </c>
      <c r="F5" s="26">
        <f>IFERROR(VLOOKUP(A5,Itens!$A$2:$E$51,5,FALSE),0)</f>
        <v>110</v>
      </c>
      <c r="G5" s="25">
        <f>SUMIFS(Entradas!$H$2:$H$48,Entradas!$D$2:$D$48,A5)</f>
        <v>120</v>
      </c>
      <c r="H5" s="25">
        <f>SUMIFS(Saidas!$H$2:$H$71,Saidas!$D$2:$D$71,A5)</f>
        <v>92.08</v>
      </c>
      <c r="I5" s="25">
        <f t="shared" si="0"/>
        <v>27.92</v>
      </c>
      <c r="J5" s="27">
        <f>IFERROR(Tabela4[[#This Row],[Estoque Atual]]/Tabela4[[#This Row],[Entradas]],0)</f>
        <v>0.23266666666666669</v>
      </c>
      <c r="K5" s="26">
        <f t="shared" si="1"/>
        <v>3071.2000000000003</v>
      </c>
      <c r="L5" s="25">
        <f>SUMIFS(Pedidos_Compra!$J$2:$J$121,Pedidos_Compra!$D$2:$D$121,A5)</f>
        <v>0</v>
      </c>
      <c r="M5" s="25">
        <f t="shared" si="2"/>
        <v>27.92</v>
      </c>
      <c r="N5" s="26">
        <f t="shared" si="3"/>
        <v>3071.2000000000003</v>
      </c>
    </row>
    <row r="6" spans="1:14" x14ac:dyDescent="0.25">
      <c r="A6" s="18" t="s">
        <v>10</v>
      </c>
      <c r="B6" s="20" t="str">
        <f>VLOOKUP(Tabela4[[#This Row],[COD_ID]],Itens!A:B,2,0)</f>
        <v>Diuron 500 SC</v>
      </c>
      <c r="C6" s="19" t="s">
        <v>6</v>
      </c>
      <c r="D6" s="21" t="s">
        <v>317</v>
      </c>
      <c r="E6" s="25" t="s">
        <v>5</v>
      </c>
      <c r="F6" s="26">
        <f>IFERROR(VLOOKUP(A6,Itens!$A$2:$E$51,5,FALSE),0)</f>
        <v>30</v>
      </c>
      <c r="G6" s="25">
        <f>SUMIFS(Entradas!$H$2:$H$48,Entradas!$D$2:$D$48,A6)</f>
        <v>250</v>
      </c>
      <c r="H6" s="25">
        <f>SUMIFS(Saidas!$H$2:$H$71,Saidas!$D$2:$D$71,A6)</f>
        <v>181.18</v>
      </c>
      <c r="I6" s="25">
        <f t="shared" si="0"/>
        <v>68.819999999999993</v>
      </c>
      <c r="J6" s="27">
        <f>IFERROR(Tabela4[[#This Row],[Estoque Atual]]/Tabela4[[#This Row],[Entradas]],0)</f>
        <v>0.27527999999999997</v>
      </c>
      <c r="K6" s="26">
        <f t="shared" si="1"/>
        <v>2064.6</v>
      </c>
      <c r="L6" s="25">
        <f>SUMIFS(Pedidos_Compra!$J$2:$J$121,Pedidos_Compra!$D$2:$D$121,A6)</f>
        <v>0</v>
      </c>
      <c r="M6" s="25">
        <f t="shared" si="2"/>
        <v>68.819999999999993</v>
      </c>
      <c r="N6" s="26">
        <f t="shared" si="3"/>
        <v>2064.6</v>
      </c>
    </row>
    <row r="7" spans="1:14" x14ac:dyDescent="0.25">
      <c r="A7" s="18" t="s">
        <v>11</v>
      </c>
      <c r="B7" s="20" t="str">
        <f>VLOOKUP(Tabela4[[#This Row],[COD_ID]],Itens!A:B,2,0)</f>
        <v>Tebutiuron 500 WG</v>
      </c>
      <c r="C7" s="19" t="s">
        <v>6</v>
      </c>
      <c r="D7" s="21" t="s">
        <v>318</v>
      </c>
      <c r="E7" s="25" t="s">
        <v>12</v>
      </c>
      <c r="F7" s="26">
        <f>IFERROR(VLOOKUP(A7,Itens!$A$2:$E$51,5,FALSE),0)</f>
        <v>75</v>
      </c>
      <c r="G7" s="25">
        <f>SUMIFS(Entradas!$H$2:$H$48,Entradas!$D$2:$D$48,A7)</f>
        <v>10</v>
      </c>
      <c r="H7" s="25">
        <f>SUMIFS(Saidas!$H$2:$H$71,Saidas!$D$2:$D$71,A7)</f>
        <v>0</v>
      </c>
      <c r="I7" s="25">
        <f t="shared" si="0"/>
        <v>10</v>
      </c>
      <c r="J7" s="27">
        <f>IFERROR(Tabela4[[#This Row],[Estoque Atual]]/Tabela4[[#This Row],[Entradas]],0)</f>
        <v>1</v>
      </c>
      <c r="K7" s="26">
        <f t="shared" si="1"/>
        <v>750</v>
      </c>
      <c r="L7" s="25">
        <f>SUMIFS(Pedidos_Compra!$J$2:$J$121,Pedidos_Compra!$D$2:$D$121,A7)</f>
        <v>3.58</v>
      </c>
      <c r="M7" s="25">
        <f t="shared" si="2"/>
        <v>13.58</v>
      </c>
      <c r="N7" s="26">
        <f t="shared" si="3"/>
        <v>1018.5</v>
      </c>
    </row>
    <row r="8" spans="1:14" x14ac:dyDescent="0.25">
      <c r="A8" s="18" t="s">
        <v>13</v>
      </c>
      <c r="B8" s="20" t="str">
        <f>VLOOKUP(Tabela4[[#This Row],[COD_ID]],Itens!A:B,2,0)</f>
        <v xml:space="preserve"> Imazapic 700 WG</v>
      </c>
      <c r="C8" s="19" t="s">
        <v>6</v>
      </c>
      <c r="D8" s="21" t="s">
        <v>318</v>
      </c>
      <c r="E8" s="25" t="s">
        <v>12</v>
      </c>
      <c r="F8" s="26">
        <f>IFERROR(VLOOKUP(A8,Itens!$A$2:$E$51,5,FALSE),0)</f>
        <v>320</v>
      </c>
      <c r="G8" s="25">
        <f>SUMIFS(Entradas!$H$2:$H$48,Entradas!$D$2:$D$48,A8)</f>
        <v>50</v>
      </c>
      <c r="H8" s="25">
        <f>SUMIFS(Saidas!$H$2:$H$71,Saidas!$D$2:$D$71,A8)</f>
        <v>37.06</v>
      </c>
      <c r="I8" s="25">
        <f t="shared" si="0"/>
        <v>12.939999999999998</v>
      </c>
      <c r="J8" s="27">
        <f>IFERROR(Tabela4[[#This Row],[Estoque Atual]]/Tabela4[[#This Row],[Entradas]],0)</f>
        <v>0.25879999999999997</v>
      </c>
      <c r="K8" s="26">
        <f t="shared" si="1"/>
        <v>4140.7999999999993</v>
      </c>
      <c r="L8" s="25">
        <f>SUMIFS(Pedidos_Compra!$J$2:$J$121,Pedidos_Compra!$D$2:$D$121,A8)</f>
        <v>0</v>
      </c>
      <c r="M8" s="25">
        <f t="shared" si="2"/>
        <v>12.939999999999998</v>
      </c>
      <c r="N8" s="26">
        <f t="shared" si="3"/>
        <v>4140.7999999999993</v>
      </c>
    </row>
    <row r="9" spans="1:14" x14ac:dyDescent="0.25">
      <c r="A9" s="18" t="s">
        <v>14</v>
      </c>
      <c r="B9" s="20" t="str">
        <f>VLOOKUP(Tabela4[[#This Row],[COD_ID]],Itens!A:B,2,0)</f>
        <v xml:space="preserve"> Amicarbazona 700 WG</v>
      </c>
      <c r="C9" s="19" t="s">
        <v>6</v>
      </c>
      <c r="D9" s="21" t="s">
        <v>318</v>
      </c>
      <c r="E9" s="25" t="s">
        <v>12</v>
      </c>
      <c r="F9" s="26">
        <f>IFERROR(VLOOKUP(A9,Itens!$A$2:$E$51,5,FALSE),0)</f>
        <v>280</v>
      </c>
      <c r="G9" s="25">
        <f>SUMIFS(Entradas!$H$2:$H$48,Entradas!$D$2:$D$48,A9)</f>
        <v>0</v>
      </c>
      <c r="H9" s="25">
        <f>SUMIFS(Saidas!$H$2:$H$71,Saidas!$D$2:$D$71,A9)</f>
        <v>0</v>
      </c>
      <c r="I9" s="25">
        <f t="shared" si="0"/>
        <v>0</v>
      </c>
      <c r="J9" s="27">
        <f>IFERROR(Tabela4[[#This Row],[Estoque Atual]]/Tabela4[[#This Row],[Entradas]],0)</f>
        <v>0</v>
      </c>
      <c r="K9" s="26">
        <f t="shared" si="1"/>
        <v>0</v>
      </c>
      <c r="L9" s="25">
        <f>SUMIFS(Pedidos_Compra!$J$2:$J$121,Pedidos_Compra!$D$2:$D$121,A9)</f>
        <v>0</v>
      </c>
      <c r="M9" s="25">
        <f t="shared" si="2"/>
        <v>0</v>
      </c>
      <c r="N9" s="26">
        <f t="shared" si="3"/>
        <v>0</v>
      </c>
    </row>
    <row r="10" spans="1:14" x14ac:dyDescent="0.25">
      <c r="A10" s="18" t="s">
        <v>15</v>
      </c>
      <c r="B10" s="20" t="str">
        <f>VLOOKUP(Tabela4[[#This Row],[COD_ID]],Itens!A:B,2,0)</f>
        <v>Metolacloro 960 EC</v>
      </c>
      <c r="C10" s="19" t="s">
        <v>6</v>
      </c>
      <c r="D10" s="21" t="s">
        <v>317</v>
      </c>
      <c r="E10" s="25" t="s">
        <v>5</v>
      </c>
      <c r="F10" s="26">
        <f>IFERROR(VLOOKUP(A10,Itens!$A$2:$E$51,5,FALSE),0)</f>
        <v>55</v>
      </c>
      <c r="G10" s="25">
        <f>SUMIFS(Entradas!$H$2:$H$48,Entradas!$D$2:$D$48,A10)</f>
        <v>120</v>
      </c>
      <c r="H10" s="25">
        <f>SUMIFS(Saidas!$H$2:$H$71,Saidas!$D$2:$D$71,A10)</f>
        <v>0</v>
      </c>
      <c r="I10" s="25">
        <f t="shared" si="0"/>
        <v>120</v>
      </c>
      <c r="J10" s="27">
        <f>IFERROR(Tabela4[[#This Row],[Estoque Atual]]/Tabela4[[#This Row],[Entradas]],0)</f>
        <v>1</v>
      </c>
      <c r="K10" s="26">
        <f t="shared" si="1"/>
        <v>6600</v>
      </c>
      <c r="L10" s="25">
        <f>SUMIFS(Pedidos_Compra!$J$2:$J$121,Pedidos_Compra!$D$2:$D$121,A10)</f>
        <v>100</v>
      </c>
      <c r="M10" s="25">
        <f t="shared" si="2"/>
        <v>220</v>
      </c>
      <c r="N10" s="26">
        <f t="shared" si="3"/>
        <v>12100</v>
      </c>
    </row>
    <row r="11" spans="1:14" x14ac:dyDescent="0.25">
      <c r="A11" s="18" t="s">
        <v>16</v>
      </c>
      <c r="B11" s="20" t="str">
        <f>VLOOKUP(Tabela4[[#This Row],[COD_ID]],Itens!A:B,2,0)</f>
        <v>MSMA (concentrado solúvel)</v>
      </c>
      <c r="C11" s="19" t="s">
        <v>6</v>
      </c>
      <c r="D11" s="21" t="s">
        <v>317</v>
      </c>
      <c r="E11" s="25" t="s">
        <v>5</v>
      </c>
      <c r="F11" s="26">
        <f>IFERROR(VLOOKUP(A11,Itens!$A$2:$E$51,5,FALSE),0)</f>
        <v>45</v>
      </c>
      <c r="G11" s="25">
        <f>SUMIFS(Entradas!$H$2:$H$48,Entradas!$D$2:$D$48,A11)</f>
        <v>120</v>
      </c>
      <c r="H11" s="25">
        <f>SUMIFS(Saidas!$H$2:$H$71,Saidas!$D$2:$D$71,A11)</f>
        <v>62.98</v>
      </c>
      <c r="I11" s="25">
        <f t="shared" si="0"/>
        <v>57.02</v>
      </c>
      <c r="J11" s="27">
        <f>IFERROR(Tabela4[[#This Row],[Estoque Atual]]/Tabela4[[#This Row],[Entradas]],0)</f>
        <v>0.47516666666666668</v>
      </c>
      <c r="K11" s="26">
        <f t="shared" si="1"/>
        <v>2565.9</v>
      </c>
      <c r="L11" s="25">
        <f>SUMIFS(Pedidos_Compra!$J$2:$J$121,Pedidos_Compra!$D$2:$D$121,A11)</f>
        <v>0</v>
      </c>
      <c r="M11" s="25">
        <f t="shared" si="2"/>
        <v>57.02</v>
      </c>
      <c r="N11" s="26">
        <f t="shared" si="3"/>
        <v>2565.9</v>
      </c>
    </row>
    <row r="12" spans="1:14" x14ac:dyDescent="0.25">
      <c r="A12" s="18" t="s">
        <v>17</v>
      </c>
      <c r="B12" s="20" t="str">
        <f>VLOOKUP(Tabela4[[#This Row],[COD_ID]],Itens!A:B,2,0)</f>
        <v>Inseticida – Imidacloprido 200 SL</v>
      </c>
      <c r="C12" s="19" t="s">
        <v>19</v>
      </c>
      <c r="D12" s="21" t="s">
        <v>317</v>
      </c>
      <c r="E12" s="25" t="s">
        <v>5</v>
      </c>
      <c r="F12" s="26">
        <f>IFERROR(VLOOKUP(A12,Itens!$A$2:$E$51,5,FALSE),0)</f>
        <v>120</v>
      </c>
      <c r="G12" s="25">
        <f>SUMIFS(Entradas!$H$2:$H$48,Entradas!$D$2:$D$48,A12)</f>
        <v>200</v>
      </c>
      <c r="H12" s="25">
        <f>SUMIFS(Saidas!$H$2:$H$71,Saidas!$D$2:$D$71,A12)</f>
        <v>97.86</v>
      </c>
      <c r="I12" s="25">
        <f t="shared" si="0"/>
        <v>102.14</v>
      </c>
      <c r="J12" s="27">
        <f>IFERROR(Tabela4[[#This Row],[Estoque Atual]]/Tabela4[[#This Row],[Entradas]],0)</f>
        <v>0.51070000000000004</v>
      </c>
      <c r="K12" s="26">
        <f t="shared" si="1"/>
        <v>12256.8</v>
      </c>
      <c r="L12" s="25">
        <f>SUMIFS(Pedidos_Compra!$J$2:$J$121,Pedidos_Compra!$D$2:$D$121,A12)</f>
        <v>0</v>
      </c>
      <c r="M12" s="25">
        <f t="shared" si="2"/>
        <v>102.14</v>
      </c>
      <c r="N12" s="26">
        <f t="shared" si="3"/>
        <v>12256.8</v>
      </c>
    </row>
    <row r="13" spans="1:14" x14ac:dyDescent="0.25">
      <c r="A13" s="18" t="s">
        <v>20</v>
      </c>
      <c r="B13" s="20" t="str">
        <f>VLOOKUP(Tabela4[[#This Row],[COD_ID]],Itens!A:B,2,0)</f>
        <v>Tiametoxam 250 WG</v>
      </c>
      <c r="C13" s="19" t="s">
        <v>19</v>
      </c>
      <c r="D13" s="21" t="s">
        <v>318</v>
      </c>
      <c r="E13" s="25" t="s">
        <v>12</v>
      </c>
      <c r="F13" s="26">
        <f>IFERROR(VLOOKUP(A13,Itens!$A$2:$E$51,5,FALSE),0)</f>
        <v>400</v>
      </c>
      <c r="G13" s="25">
        <f>SUMIFS(Entradas!$H$2:$H$48,Entradas!$D$2:$D$48,A13)</f>
        <v>15</v>
      </c>
      <c r="H13" s="25">
        <f>SUMIFS(Saidas!$H$2:$H$71,Saidas!$D$2:$D$71,A13)</f>
        <v>12.61</v>
      </c>
      <c r="I13" s="25">
        <f t="shared" si="0"/>
        <v>2.3900000000000006</v>
      </c>
      <c r="J13" s="27">
        <f>IFERROR(Tabela4[[#This Row],[Estoque Atual]]/Tabela4[[#This Row],[Entradas]],0)</f>
        <v>0.15933333333333338</v>
      </c>
      <c r="K13" s="26">
        <f t="shared" si="1"/>
        <v>956.00000000000023</v>
      </c>
      <c r="L13" s="25">
        <f>SUMIFS(Pedidos_Compra!$J$2:$J$121,Pedidos_Compra!$D$2:$D$121,A13)</f>
        <v>0</v>
      </c>
      <c r="M13" s="25">
        <f t="shared" si="2"/>
        <v>2.3900000000000006</v>
      </c>
      <c r="N13" s="26">
        <f t="shared" si="3"/>
        <v>956.00000000000023</v>
      </c>
    </row>
    <row r="14" spans="1:14" x14ac:dyDescent="0.25">
      <c r="A14" s="18" t="s">
        <v>21</v>
      </c>
      <c r="B14" s="20" t="str">
        <f>VLOOKUP(Tabela4[[#This Row],[COD_ID]],Itens!A:B,2,0)</f>
        <v xml:space="preserve"> Clorantraniliprole 200 SC</v>
      </c>
      <c r="C14" s="19" t="s">
        <v>19</v>
      </c>
      <c r="D14" s="21" t="s">
        <v>317</v>
      </c>
      <c r="E14" s="25" t="s">
        <v>5</v>
      </c>
      <c r="F14" s="26">
        <f>IFERROR(VLOOKUP(A14,Itens!$A$2:$E$51,5,FALSE),0)</f>
        <v>650</v>
      </c>
      <c r="G14" s="25">
        <f>SUMIFS(Entradas!$H$2:$H$48,Entradas!$D$2:$D$48,A14)</f>
        <v>400</v>
      </c>
      <c r="H14" s="25">
        <f>SUMIFS(Saidas!$H$2:$H$71,Saidas!$D$2:$D$71,A14)</f>
        <v>0</v>
      </c>
      <c r="I14" s="25">
        <f t="shared" si="0"/>
        <v>400</v>
      </c>
      <c r="J14" s="27">
        <f>IFERROR(Tabela4[[#This Row],[Estoque Atual]]/Tabela4[[#This Row],[Entradas]],0)</f>
        <v>1</v>
      </c>
      <c r="K14" s="26">
        <f t="shared" si="1"/>
        <v>260000</v>
      </c>
      <c r="L14" s="25">
        <f>SUMIFS(Pedidos_Compra!$J$2:$J$121,Pedidos_Compra!$D$2:$D$121,A14)</f>
        <v>0</v>
      </c>
      <c r="M14" s="25">
        <f t="shared" si="2"/>
        <v>400</v>
      </c>
      <c r="N14" s="26">
        <f t="shared" si="3"/>
        <v>260000</v>
      </c>
    </row>
    <row r="15" spans="1:14" x14ac:dyDescent="0.25">
      <c r="A15" s="18" t="s">
        <v>22</v>
      </c>
      <c r="B15" s="20" t="str">
        <f>VLOOKUP(Tabela4[[#This Row],[COD_ID]],Itens!A:B,2,0)</f>
        <v xml:space="preserve"> Lambda-cialotrina 50 EC</v>
      </c>
      <c r="C15" s="19" t="s">
        <v>19</v>
      </c>
      <c r="D15" s="21" t="s">
        <v>317</v>
      </c>
      <c r="E15" s="25" t="s">
        <v>5</v>
      </c>
      <c r="F15" s="26">
        <f>IFERROR(VLOOKUP(A15,Itens!$A$2:$E$51,5,FALSE),0)</f>
        <v>90</v>
      </c>
      <c r="G15" s="25">
        <f>SUMIFS(Entradas!$H$2:$H$48,Entradas!$D$2:$D$48,A15)</f>
        <v>50</v>
      </c>
      <c r="H15" s="25">
        <f>SUMIFS(Saidas!$H$2:$H$71,Saidas!$D$2:$D$71,A15)</f>
        <v>22.25</v>
      </c>
      <c r="I15" s="25">
        <f t="shared" si="0"/>
        <v>27.75</v>
      </c>
      <c r="J15" s="27">
        <f>IFERROR(Tabela4[[#This Row],[Estoque Atual]]/Tabela4[[#This Row],[Entradas]],0)</f>
        <v>0.55500000000000005</v>
      </c>
      <c r="K15" s="26">
        <f t="shared" si="1"/>
        <v>2497.5</v>
      </c>
      <c r="L15" s="25">
        <f>SUMIFS(Pedidos_Compra!$J$2:$J$121,Pedidos_Compra!$D$2:$D$121,A15)</f>
        <v>0</v>
      </c>
      <c r="M15" s="25">
        <f t="shared" si="2"/>
        <v>27.75</v>
      </c>
      <c r="N15" s="26">
        <f t="shared" si="3"/>
        <v>2497.5</v>
      </c>
    </row>
    <row r="16" spans="1:14" x14ac:dyDescent="0.25">
      <c r="A16" s="18" t="s">
        <v>23</v>
      </c>
      <c r="B16" s="20" t="str">
        <f>VLOOKUP(Tabela4[[#This Row],[COD_ID]],Itens!A:B,2,0)</f>
        <v xml:space="preserve"> Fipronil 250 SC</v>
      </c>
      <c r="C16" s="19" t="s">
        <v>19</v>
      </c>
      <c r="D16" s="21" t="s">
        <v>317</v>
      </c>
      <c r="E16" s="25" t="s">
        <v>5</v>
      </c>
      <c r="F16" s="26">
        <f>IFERROR(VLOOKUP(A16,Itens!$A$2:$E$51,5,FALSE),0)</f>
        <v>220</v>
      </c>
      <c r="G16" s="25">
        <f>SUMIFS(Entradas!$H$2:$H$48,Entradas!$D$2:$D$48,A16)</f>
        <v>200</v>
      </c>
      <c r="H16" s="25">
        <f>SUMIFS(Saidas!$H$2:$H$71,Saidas!$D$2:$D$71,A16)</f>
        <v>164.03</v>
      </c>
      <c r="I16" s="25">
        <f t="shared" si="0"/>
        <v>35.97</v>
      </c>
      <c r="J16" s="27">
        <f>IFERROR(Tabela4[[#This Row],[Estoque Atual]]/Tabela4[[#This Row],[Entradas]],0)</f>
        <v>0.17984999999999998</v>
      </c>
      <c r="K16" s="26">
        <f t="shared" si="1"/>
        <v>7913.4</v>
      </c>
      <c r="L16" s="25">
        <f>SUMIFS(Pedidos_Compra!$J$2:$J$121,Pedidos_Compra!$D$2:$D$121,A16)</f>
        <v>0</v>
      </c>
      <c r="M16" s="25">
        <f t="shared" si="2"/>
        <v>35.97</v>
      </c>
      <c r="N16" s="26">
        <f t="shared" si="3"/>
        <v>7913.4</v>
      </c>
    </row>
    <row r="17" spans="1:14" x14ac:dyDescent="0.25">
      <c r="A17" s="18" t="s">
        <v>24</v>
      </c>
      <c r="B17" s="20" t="str">
        <f>VLOOKUP(Tabela4[[#This Row],[COD_ID]],Itens!A:B,2,0)</f>
        <v>Bacillus thuringiensis (Bt)</v>
      </c>
      <c r="C17" s="19" t="s">
        <v>19</v>
      </c>
      <c r="D17" s="21" t="s">
        <v>318</v>
      </c>
      <c r="E17" s="25" t="s">
        <v>12</v>
      </c>
      <c r="F17" s="26">
        <f>IFERROR(VLOOKUP(A17,Itens!$A$2:$E$51,5,FALSE),0)</f>
        <v>180</v>
      </c>
      <c r="G17" s="25">
        <f>SUMIFS(Entradas!$H$2:$H$48,Entradas!$D$2:$D$48,A17)</f>
        <v>25</v>
      </c>
      <c r="H17" s="25">
        <f>SUMIFS(Saidas!$H$2:$H$71,Saidas!$D$2:$D$71,A17)</f>
        <v>15.68</v>
      </c>
      <c r="I17" s="25">
        <f t="shared" si="0"/>
        <v>9.32</v>
      </c>
      <c r="J17" s="27">
        <f>IFERROR(Tabela4[[#This Row],[Estoque Atual]]/Tabela4[[#This Row],[Entradas]],0)</f>
        <v>0.37280000000000002</v>
      </c>
      <c r="K17" s="26">
        <f t="shared" si="1"/>
        <v>1677.6000000000001</v>
      </c>
      <c r="L17" s="25">
        <f>SUMIFS(Pedidos_Compra!$J$2:$J$121,Pedidos_Compra!$D$2:$D$121,A17)</f>
        <v>0</v>
      </c>
      <c r="M17" s="25">
        <f t="shared" si="2"/>
        <v>9.32</v>
      </c>
      <c r="N17" s="26">
        <f t="shared" si="3"/>
        <v>1677.6000000000001</v>
      </c>
    </row>
    <row r="18" spans="1:14" x14ac:dyDescent="0.25">
      <c r="A18" s="18" t="s">
        <v>25</v>
      </c>
      <c r="B18" s="20" t="str">
        <f>VLOOKUP(Tabela4[[#This Row],[COD_ID]],Itens!A:B,2,0)</f>
        <v>Fluensulfona 480 EC</v>
      </c>
      <c r="C18" s="19" t="s">
        <v>26</v>
      </c>
      <c r="D18" s="21" t="s">
        <v>317</v>
      </c>
      <c r="E18" s="25" t="s">
        <v>5</v>
      </c>
      <c r="F18" s="26">
        <f>IFERROR(VLOOKUP(A18,Itens!$A$2:$E$51,5,FALSE),0)</f>
        <v>500</v>
      </c>
      <c r="G18" s="25">
        <f>SUMIFS(Entradas!$H$2:$H$48,Entradas!$D$2:$D$48,A18)</f>
        <v>250</v>
      </c>
      <c r="H18" s="25">
        <f>SUMIFS(Saidas!$H$2:$H$71,Saidas!$D$2:$D$71,A18)</f>
        <v>125.12</v>
      </c>
      <c r="I18" s="25">
        <f t="shared" si="0"/>
        <v>124.88</v>
      </c>
      <c r="J18" s="27">
        <f>IFERROR(Tabela4[[#This Row],[Estoque Atual]]/Tabela4[[#This Row],[Entradas]],0)</f>
        <v>0.49951999999999996</v>
      </c>
      <c r="K18" s="26">
        <f t="shared" si="1"/>
        <v>62440</v>
      </c>
      <c r="L18" s="25">
        <f>SUMIFS(Pedidos_Compra!$J$2:$J$121,Pedidos_Compra!$D$2:$D$121,A18)</f>
        <v>58.43</v>
      </c>
      <c r="M18" s="25">
        <f t="shared" si="2"/>
        <v>183.31</v>
      </c>
      <c r="N18" s="26">
        <f t="shared" si="3"/>
        <v>91655</v>
      </c>
    </row>
    <row r="19" spans="1:14" x14ac:dyDescent="0.25">
      <c r="A19" s="18" t="s">
        <v>27</v>
      </c>
      <c r="B19" s="20" t="str">
        <f>VLOOKUP(Tabela4[[#This Row],[COD_ID]],Itens!A:B,2,0)</f>
        <v>Abamectina 18 EC</v>
      </c>
      <c r="C19" s="19" t="s">
        <v>26</v>
      </c>
      <c r="D19" s="21" t="s">
        <v>317</v>
      </c>
      <c r="E19" s="25" t="s">
        <v>5</v>
      </c>
      <c r="F19" s="26">
        <f>IFERROR(VLOOKUP(A19,Itens!$A$2:$E$51,5,FALSE),0)</f>
        <v>220</v>
      </c>
      <c r="G19" s="25">
        <f>SUMIFS(Entradas!$H$2:$H$48,Entradas!$D$2:$D$48,A19)</f>
        <v>300</v>
      </c>
      <c r="H19" s="25">
        <f>SUMIFS(Saidas!$H$2:$H$71,Saidas!$D$2:$D$71,A19)</f>
        <v>147.57</v>
      </c>
      <c r="I19" s="25">
        <f t="shared" si="0"/>
        <v>152.43</v>
      </c>
      <c r="J19" s="27">
        <f>IFERROR(Tabela4[[#This Row],[Estoque Atual]]/Tabela4[[#This Row],[Entradas]],0)</f>
        <v>0.5081</v>
      </c>
      <c r="K19" s="26">
        <f t="shared" si="1"/>
        <v>33534.6</v>
      </c>
      <c r="L19" s="25">
        <f>SUMIFS(Pedidos_Compra!$J$2:$J$121,Pedidos_Compra!$D$2:$D$121,A19)</f>
        <v>0</v>
      </c>
      <c r="M19" s="25">
        <f t="shared" si="2"/>
        <v>152.43</v>
      </c>
      <c r="N19" s="26">
        <f t="shared" si="3"/>
        <v>33534.6</v>
      </c>
    </row>
    <row r="20" spans="1:14" x14ac:dyDescent="0.25">
      <c r="A20" s="18" t="s">
        <v>28</v>
      </c>
      <c r="B20" s="20" t="str">
        <f>VLOOKUP(Tabela4[[#This Row],[COD_ID]],Itens!A:B,2,0)</f>
        <v>Bacillus firmus</v>
      </c>
      <c r="C20" s="19" t="s">
        <v>26</v>
      </c>
      <c r="D20" s="21" t="s">
        <v>318</v>
      </c>
      <c r="E20" s="25" t="s">
        <v>12</v>
      </c>
      <c r="F20" s="26">
        <f>IFERROR(VLOOKUP(A20,Itens!$A$2:$E$51,5,FALSE),0)</f>
        <v>180</v>
      </c>
      <c r="G20" s="25">
        <f>SUMIFS(Entradas!$H$2:$H$48,Entradas!$D$2:$D$48,A20)</f>
        <v>15</v>
      </c>
      <c r="H20" s="25">
        <f>SUMIFS(Saidas!$H$2:$H$71,Saidas!$D$2:$D$71,A20)</f>
        <v>9.9700000000000006</v>
      </c>
      <c r="I20" s="25">
        <f t="shared" si="0"/>
        <v>5.0299999999999994</v>
      </c>
      <c r="J20" s="27">
        <f>IFERROR(Tabela4[[#This Row],[Estoque Atual]]/Tabela4[[#This Row],[Entradas]],0)</f>
        <v>0.33533333333333332</v>
      </c>
      <c r="K20" s="26">
        <f t="shared" si="1"/>
        <v>905.39999999999986</v>
      </c>
      <c r="L20" s="25">
        <f>SUMIFS(Pedidos_Compra!$J$2:$J$121,Pedidos_Compra!$D$2:$D$121,A20)</f>
        <v>0</v>
      </c>
      <c r="M20" s="25">
        <f t="shared" si="2"/>
        <v>5.0299999999999994</v>
      </c>
      <c r="N20" s="26">
        <f t="shared" si="3"/>
        <v>905.39999999999986</v>
      </c>
    </row>
    <row r="21" spans="1:14" x14ac:dyDescent="0.25">
      <c r="A21" s="18" t="s">
        <v>29</v>
      </c>
      <c r="B21" s="20" t="str">
        <f>VLOOKUP(Tabela4[[#This Row],[COD_ID]],Itens!A:B,2,0)</f>
        <v>Purpureocillium lilacinum</v>
      </c>
      <c r="C21" s="19" t="s">
        <v>26</v>
      </c>
      <c r="D21" s="21" t="s">
        <v>318</v>
      </c>
      <c r="E21" s="25" t="s">
        <v>12</v>
      </c>
      <c r="F21" s="26">
        <f>IFERROR(VLOOKUP(A21,Itens!$A$2:$E$51,5,FALSE),0)</f>
        <v>200</v>
      </c>
      <c r="G21" s="25">
        <f>SUMIFS(Entradas!$H$2:$H$48,Entradas!$D$2:$D$48,A21)</f>
        <v>50</v>
      </c>
      <c r="H21" s="25">
        <f>SUMIFS(Saidas!$H$2:$H$71,Saidas!$D$2:$D$71,A21)</f>
        <v>0</v>
      </c>
      <c r="I21" s="25">
        <f t="shared" si="0"/>
        <v>50</v>
      </c>
      <c r="J21" s="27">
        <f>IFERROR(Tabela4[[#This Row],[Estoque Atual]]/Tabela4[[#This Row],[Entradas]],0)</f>
        <v>1</v>
      </c>
      <c r="K21" s="26">
        <f t="shared" si="1"/>
        <v>10000</v>
      </c>
      <c r="L21" s="25">
        <f>SUMIFS(Pedidos_Compra!$J$2:$J$121,Pedidos_Compra!$D$2:$D$121,A21)</f>
        <v>0</v>
      </c>
      <c r="M21" s="25">
        <f t="shared" si="2"/>
        <v>50</v>
      </c>
      <c r="N21" s="26">
        <f t="shared" si="3"/>
        <v>10000</v>
      </c>
    </row>
    <row r="22" spans="1:14" x14ac:dyDescent="0.25">
      <c r="A22" s="18" t="s">
        <v>30</v>
      </c>
      <c r="B22" s="20" t="str">
        <f>VLOOKUP(Tabela4[[#This Row],[COD_ID]],Itens!A:B,2,0)</f>
        <v>Ureia 46% N</v>
      </c>
      <c r="C22" s="19" t="s">
        <v>31</v>
      </c>
      <c r="D22" s="21" t="s">
        <v>318</v>
      </c>
      <c r="E22" s="25" t="s">
        <v>12</v>
      </c>
      <c r="F22" s="26">
        <f>IFERROR(VLOOKUP(A22,Itens!$A$2:$E$51,5,FALSE),0)</f>
        <v>3.2</v>
      </c>
      <c r="G22" s="25">
        <f>SUMIFS(Entradas!$H$2:$H$48,Entradas!$D$2:$D$48,A22)</f>
        <v>0</v>
      </c>
      <c r="H22" s="25">
        <f>SUMIFS(Saidas!$H$2:$H$71,Saidas!$D$2:$D$71,A22)</f>
        <v>0</v>
      </c>
      <c r="I22" s="25">
        <f t="shared" si="0"/>
        <v>0</v>
      </c>
      <c r="J22" s="27">
        <f>IFERROR(Tabela4[[#This Row],[Estoque Atual]]/Tabela4[[#This Row],[Entradas]],0)</f>
        <v>0</v>
      </c>
      <c r="K22" s="26">
        <f t="shared" si="1"/>
        <v>0</v>
      </c>
      <c r="L22" s="25">
        <f>SUMIFS(Pedidos_Compra!$J$2:$J$121,Pedidos_Compra!$D$2:$D$121,A22)</f>
        <v>0</v>
      </c>
      <c r="M22" s="25">
        <f t="shared" si="2"/>
        <v>0</v>
      </c>
      <c r="N22" s="26">
        <f t="shared" si="3"/>
        <v>0</v>
      </c>
    </row>
    <row r="23" spans="1:14" x14ac:dyDescent="0.25">
      <c r="A23" s="18" t="s">
        <v>32</v>
      </c>
      <c r="B23" s="20" t="str">
        <f>VLOOKUP(Tabela4[[#This Row],[COD_ID]],Itens!A:B,2,0)</f>
        <v>Sulfato de amônio 21% N + 24% S</v>
      </c>
      <c r="C23" s="19" t="s">
        <v>33</v>
      </c>
      <c r="D23" s="21" t="s">
        <v>318</v>
      </c>
      <c r="E23" s="25" t="s">
        <v>12</v>
      </c>
      <c r="F23" s="26">
        <f>IFERROR(VLOOKUP(A23,Itens!$A$2:$E$51,5,FALSE),0)</f>
        <v>1.8</v>
      </c>
      <c r="G23" s="25">
        <f>SUMIFS(Entradas!$H$2:$H$48,Entradas!$D$2:$D$48,A23)</f>
        <v>12000</v>
      </c>
      <c r="H23" s="25">
        <f>SUMIFS(Saidas!$H$2:$H$71,Saidas!$D$2:$D$71,A23)</f>
        <v>9560</v>
      </c>
      <c r="I23" s="25">
        <f t="shared" si="0"/>
        <v>2440</v>
      </c>
      <c r="J23" s="27">
        <f>IFERROR(Tabela4[[#This Row],[Estoque Atual]]/Tabela4[[#This Row],[Entradas]],0)</f>
        <v>0.20333333333333334</v>
      </c>
      <c r="K23" s="26">
        <f t="shared" si="1"/>
        <v>4392</v>
      </c>
      <c r="L23" s="25">
        <f>SUMIFS(Pedidos_Compra!$J$2:$J$121,Pedidos_Compra!$D$2:$D$121,A23)</f>
        <v>3570</v>
      </c>
      <c r="M23" s="25">
        <f t="shared" si="2"/>
        <v>6010</v>
      </c>
      <c r="N23" s="26">
        <f t="shared" si="3"/>
        <v>10818</v>
      </c>
    </row>
    <row r="24" spans="1:14" x14ac:dyDescent="0.25">
      <c r="A24" s="18" t="s">
        <v>34</v>
      </c>
      <c r="B24" s="20" t="str">
        <f>VLOOKUP(Tabela4[[#This Row],[COD_ID]],Itens!A:B,2,0)</f>
        <v>Nitrato de amônio</v>
      </c>
      <c r="C24" s="19" t="s">
        <v>31</v>
      </c>
      <c r="D24" s="21" t="s">
        <v>318</v>
      </c>
      <c r="E24" s="25" t="s">
        <v>12</v>
      </c>
      <c r="F24" s="26">
        <f>IFERROR(VLOOKUP(A24,Itens!$A$2:$E$51,5,FALSE),0)</f>
        <v>3.5</v>
      </c>
      <c r="G24" s="25">
        <f>SUMIFS(Entradas!$H$2:$H$48,Entradas!$D$2:$D$48,A24)</f>
        <v>0</v>
      </c>
      <c r="H24" s="25">
        <f>SUMIFS(Saidas!$H$2:$H$71,Saidas!$D$2:$D$71,A24)</f>
        <v>0</v>
      </c>
      <c r="I24" s="25">
        <f t="shared" si="0"/>
        <v>0</v>
      </c>
      <c r="J24" s="27">
        <f>IFERROR(Tabela4[[#This Row],[Estoque Atual]]/Tabela4[[#This Row],[Entradas]],0)</f>
        <v>0</v>
      </c>
      <c r="K24" s="26">
        <f t="shared" si="1"/>
        <v>0</v>
      </c>
      <c r="L24" s="25">
        <f>SUMIFS(Pedidos_Compra!$J$2:$J$121,Pedidos_Compra!$D$2:$D$121,A24)</f>
        <v>0</v>
      </c>
      <c r="M24" s="25">
        <f t="shared" si="2"/>
        <v>0</v>
      </c>
      <c r="N24" s="26">
        <f t="shared" si="3"/>
        <v>0</v>
      </c>
    </row>
    <row r="25" spans="1:14" x14ac:dyDescent="0.25">
      <c r="A25" s="18" t="s">
        <v>35</v>
      </c>
      <c r="B25" s="20" t="str">
        <f>VLOOKUP(Tabela4[[#This Row],[COD_ID]],Itens!A:B,2,0)</f>
        <v>Cloreto de potássio (KCl) 60% K2O</v>
      </c>
      <c r="C25" s="19" t="s">
        <v>36</v>
      </c>
      <c r="D25" s="21" t="s">
        <v>318</v>
      </c>
      <c r="E25" s="25" t="s">
        <v>12</v>
      </c>
      <c r="F25" s="26">
        <f>IFERROR(VLOOKUP(A25,Itens!$A$2:$E$51,5,FALSE),0)</f>
        <v>3</v>
      </c>
      <c r="G25" s="25">
        <f>SUMIFS(Entradas!$H$2:$H$48,Entradas!$D$2:$D$48,A25)</f>
        <v>7000</v>
      </c>
      <c r="H25" s="25">
        <f>SUMIFS(Saidas!$H$2:$H$71,Saidas!$D$2:$D$71,A25)</f>
        <v>4400</v>
      </c>
      <c r="I25" s="25">
        <f t="shared" si="0"/>
        <v>2600</v>
      </c>
      <c r="J25" s="27">
        <f>IFERROR(Tabela4[[#This Row],[Estoque Atual]]/Tabela4[[#This Row],[Entradas]],0)</f>
        <v>0.37142857142857144</v>
      </c>
      <c r="K25" s="26">
        <f t="shared" si="1"/>
        <v>7800</v>
      </c>
      <c r="L25" s="25">
        <f>SUMIFS(Pedidos_Compra!$J$2:$J$121,Pedidos_Compra!$D$2:$D$121,A25)</f>
        <v>2490</v>
      </c>
      <c r="M25" s="25">
        <f t="shared" si="2"/>
        <v>5090</v>
      </c>
      <c r="N25" s="26">
        <f t="shared" si="3"/>
        <v>15270</v>
      </c>
    </row>
    <row r="26" spans="1:14" x14ac:dyDescent="0.25">
      <c r="A26" s="18" t="s">
        <v>37</v>
      </c>
      <c r="B26" s="20" t="str">
        <f>VLOOKUP(Tabela4[[#This Row],[COD_ID]],Itens!A:B,2,0)</f>
        <v>Sulfato de potássio 50% K2O</v>
      </c>
      <c r="C26" s="19" t="s">
        <v>38</v>
      </c>
      <c r="D26" s="21" t="s">
        <v>318</v>
      </c>
      <c r="E26" s="25" t="s">
        <v>12</v>
      </c>
      <c r="F26" s="26">
        <f>IFERROR(VLOOKUP(A26,Itens!$A$2:$E$51,5,FALSE),0)</f>
        <v>4.8</v>
      </c>
      <c r="G26" s="25">
        <f>SUMIFS(Entradas!$H$2:$H$48,Entradas!$D$2:$D$48,A26)</f>
        <v>12000</v>
      </c>
      <c r="H26" s="25">
        <f>SUMIFS(Saidas!$H$2:$H$71,Saidas!$D$2:$D$71,A26)</f>
        <v>7770</v>
      </c>
      <c r="I26" s="25">
        <f t="shared" si="0"/>
        <v>4230</v>
      </c>
      <c r="J26" s="27">
        <f>IFERROR(Tabela4[[#This Row],[Estoque Atual]]/Tabela4[[#This Row],[Entradas]],0)</f>
        <v>0.35249999999999998</v>
      </c>
      <c r="K26" s="26">
        <f t="shared" si="1"/>
        <v>20304</v>
      </c>
      <c r="L26" s="25">
        <f>SUMIFS(Pedidos_Compra!$J$2:$J$121,Pedidos_Compra!$D$2:$D$121,A26)</f>
        <v>0</v>
      </c>
      <c r="M26" s="25">
        <f t="shared" si="2"/>
        <v>4230</v>
      </c>
      <c r="N26" s="26">
        <f t="shared" si="3"/>
        <v>20304</v>
      </c>
    </row>
    <row r="27" spans="1:14" x14ac:dyDescent="0.25">
      <c r="A27" s="18" t="s">
        <v>39</v>
      </c>
      <c r="B27" s="20" t="str">
        <f>VLOOKUP(Tabela4[[#This Row],[COD_ID]],Itens!A:B,2,0)</f>
        <v>MAP (Monoamônio Fosfato) 11-52-0</v>
      </c>
      <c r="C27" s="19" t="s">
        <v>40</v>
      </c>
      <c r="D27" s="21" t="s">
        <v>318</v>
      </c>
      <c r="E27" s="25" t="s">
        <v>12</v>
      </c>
      <c r="F27" s="26">
        <f>IFERROR(VLOOKUP(A27,Itens!$A$2:$E$51,5,FALSE),0)</f>
        <v>4.2</v>
      </c>
      <c r="G27" s="25">
        <f>SUMIFS(Entradas!$H$2:$H$48,Entradas!$D$2:$D$48,A27)</f>
        <v>1000</v>
      </c>
      <c r="H27" s="25">
        <f>SUMIFS(Saidas!$H$2:$H$71,Saidas!$D$2:$D$71,A27)</f>
        <v>770</v>
      </c>
      <c r="I27" s="25">
        <f t="shared" si="0"/>
        <v>230</v>
      </c>
      <c r="J27" s="27">
        <f>IFERROR(Tabela4[[#This Row],[Estoque Atual]]/Tabela4[[#This Row],[Entradas]],0)</f>
        <v>0.23</v>
      </c>
      <c r="K27" s="26">
        <f t="shared" si="1"/>
        <v>966</v>
      </c>
      <c r="L27" s="25">
        <f>SUMIFS(Pedidos_Compra!$J$2:$J$121,Pedidos_Compra!$D$2:$D$121,A27)</f>
        <v>0</v>
      </c>
      <c r="M27" s="25">
        <f t="shared" si="2"/>
        <v>230</v>
      </c>
      <c r="N27" s="26">
        <f t="shared" si="3"/>
        <v>966</v>
      </c>
    </row>
    <row r="28" spans="1:14" x14ac:dyDescent="0.25">
      <c r="A28" s="18" t="s">
        <v>41</v>
      </c>
      <c r="B28" s="20" t="str">
        <f>VLOOKUP(Tabela4[[#This Row],[COD_ID]],Itens!A:B,2,0)</f>
        <v>DAP (Diamônio Fosfato) 18-46-0</v>
      </c>
      <c r="C28" s="19" t="s">
        <v>40</v>
      </c>
      <c r="D28" s="21" t="s">
        <v>318</v>
      </c>
      <c r="E28" s="25" t="s">
        <v>12</v>
      </c>
      <c r="F28" s="26">
        <f>IFERROR(VLOOKUP(A28,Itens!$A$2:$E$51,5,FALSE),0)</f>
        <v>4</v>
      </c>
      <c r="G28" s="25">
        <f>SUMIFS(Entradas!$H$2:$H$48,Entradas!$D$2:$D$48,A28)</f>
        <v>0</v>
      </c>
      <c r="H28" s="25">
        <f>SUMIFS(Saidas!$H$2:$H$71,Saidas!$D$2:$D$71,A28)</f>
        <v>0</v>
      </c>
      <c r="I28" s="25">
        <f t="shared" si="0"/>
        <v>0</v>
      </c>
      <c r="J28" s="27">
        <f>IFERROR(Tabela4[[#This Row],[Estoque Atual]]/Tabela4[[#This Row],[Entradas]],0)</f>
        <v>0</v>
      </c>
      <c r="K28" s="26">
        <f t="shared" si="1"/>
        <v>0</v>
      </c>
      <c r="L28" s="25">
        <f>SUMIFS(Pedidos_Compra!$J$2:$J$121,Pedidos_Compra!$D$2:$D$121,A28)</f>
        <v>0</v>
      </c>
      <c r="M28" s="25">
        <f t="shared" si="2"/>
        <v>0</v>
      </c>
      <c r="N28" s="26">
        <f t="shared" si="3"/>
        <v>0</v>
      </c>
    </row>
    <row r="29" spans="1:14" x14ac:dyDescent="0.25">
      <c r="A29" s="18" t="s">
        <v>42</v>
      </c>
      <c r="B29" s="20" t="str">
        <f>VLOOKUP(Tabela4[[#This Row],[COD_ID]],Itens!A:B,2,0)</f>
        <v>Superfosfato simples (SSP)</v>
      </c>
      <c r="C29" s="19" t="s">
        <v>40</v>
      </c>
      <c r="D29" s="21" t="s">
        <v>318</v>
      </c>
      <c r="E29" s="25" t="s">
        <v>12</v>
      </c>
      <c r="F29" s="26">
        <f>IFERROR(VLOOKUP(A29,Itens!$A$2:$E$51,5,FALSE),0)</f>
        <v>1.6</v>
      </c>
      <c r="G29" s="25">
        <f>SUMIFS(Entradas!$H$2:$H$48,Entradas!$D$2:$D$48,A29)</f>
        <v>0</v>
      </c>
      <c r="H29" s="25">
        <f>SUMIFS(Saidas!$H$2:$H$71,Saidas!$D$2:$D$71,A29)</f>
        <v>0</v>
      </c>
      <c r="I29" s="25">
        <f t="shared" si="0"/>
        <v>0</v>
      </c>
      <c r="J29" s="27">
        <f>IFERROR(Tabela4[[#This Row],[Estoque Atual]]/Tabela4[[#This Row],[Entradas]],0)</f>
        <v>0</v>
      </c>
      <c r="K29" s="26">
        <f t="shared" si="1"/>
        <v>0</v>
      </c>
      <c r="L29" s="25">
        <f>SUMIFS(Pedidos_Compra!$J$2:$J$121,Pedidos_Compra!$D$2:$D$121,A29)</f>
        <v>0</v>
      </c>
      <c r="M29" s="25">
        <f t="shared" si="2"/>
        <v>0</v>
      </c>
      <c r="N29" s="26">
        <f t="shared" si="3"/>
        <v>0</v>
      </c>
    </row>
    <row r="30" spans="1:14" x14ac:dyDescent="0.25">
      <c r="A30" s="18" t="s">
        <v>43</v>
      </c>
      <c r="B30" s="20" t="str">
        <f>VLOOKUP(Tabela4[[#This Row],[COD_ID]],Itens!A:B,2,0)</f>
        <v>Superfosfato triplo (TSP)</v>
      </c>
      <c r="C30" s="19" t="s">
        <v>40</v>
      </c>
      <c r="D30" s="21" t="s">
        <v>318</v>
      </c>
      <c r="E30" s="25" t="s">
        <v>12</v>
      </c>
      <c r="F30" s="26">
        <f>IFERROR(VLOOKUP(A30,Itens!$A$2:$E$51,5,FALSE),0)</f>
        <v>3.2</v>
      </c>
      <c r="G30" s="25">
        <f>SUMIFS(Entradas!$H$2:$H$48,Entradas!$D$2:$D$48,A30)</f>
        <v>20000</v>
      </c>
      <c r="H30" s="25">
        <f>SUMIFS(Saidas!$H$2:$H$71,Saidas!$D$2:$D$71,A30)</f>
        <v>15930</v>
      </c>
      <c r="I30" s="25">
        <f t="shared" si="0"/>
        <v>4070</v>
      </c>
      <c r="J30" s="27">
        <f>IFERROR(Tabela4[[#This Row],[Estoque Atual]]/Tabela4[[#This Row],[Entradas]],0)</f>
        <v>0.20349999999999999</v>
      </c>
      <c r="K30" s="26">
        <f t="shared" si="1"/>
        <v>13024</v>
      </c>
      <c r="L30" s="25">
        <f>SUMIFS(Pedidos_Compra!$J$2:$J$121,Pedidos_Compra!$D$2:$D$121,A30)</f>
        <v>7190</v>
      </c>
      <c r="M30" s="25">
        <f t="shared" si="2"/>
        <v>11260</v>
      </c>
      <c r="N30" s="26">
        <f t="shared" si="3"/>
        <v>36032</v>
      </c>
    </row>
    <row r="31" spans="1:14" x14ac:dyDescent="0.25">
      <c r="A31" s="18" t="s">
        <v>44</v>
      </c>
      <c r="B31" s="20" t="str">
        <f>VLOOKUP(Tabela4[[#This Row],[COD_ID]],Itens!A:B,2,0)</f>
        <v>NPK 20-00-20</v>
      </c>
      <c r="C31" s="19" t="s">
        <v>45</v>
      </c>
      <c r="D31" s="21" t="s">
        <v>318</v>
      </c>
      <c r="E31" s="25" t="s">
        <v>12</v>
      </c>
      <c r="F31" s="26">
        <f>IFERROR(VLOOKUP(A31,Itens!$A$2:$E$51,5,FALSE),0)</f>
        <v>3.6</v>
      </c>
      <c r="G31" s="25">
        <f>SUMIFS(Entradas!$H$2:$H$48,Entradas!$D$2:$D$48,A31)</f>
        <v>25000</v>
      </c>
      <c r="H31" s="25">
        <f>SUMIFS(Saidas!$H$2:$H$71,Saidas!$D$2:$D$71,A31)</f>
        <v>17580</v>
      </c>
      <c r="I31" s="25">
        <f t="shared" si="0"/>
        <v>7420</v>
      </c>
      <c r="J31" s="27">
        <f>IFERROR(Tabela4[[#This Row],[Estoque Atual]]/Tabela4[[#This Row],[Entradas]],0)</f>
        <v>0.29680000000000001</v>
      </c>
      <c r="K31" s="26">
        <f t="shared" si="1"/>
        <v>26712</v>
      </c>
      <c r="L31" s="25">
        <f>SUMIFS(Pedidos_Compra!$J$2:$J$121,Pedidos_Compra!$D$2:$D$121,A31)</f>
        <v>3830</v>
      </c>
      <c r="M31" s="25">
        <f t="shared" si="2"/>
        <v>11250</v>
      </c>
      <c r="N31" s="26">
        <f t="shared" si="3"/>
        <v>40500</v>
      </c>
    </row>
    <row r="32" spans="1:14" x14ac:dyDescent="0.25">
      <c r="A32" s="18" t="s">
        <v>46</v>
      </c>
      <c r="B32" s="20" t="str">
        <f>VLOOKUP(Tabela4[[#This Row],[COD_ID]],Itens!A:B,2,0)</f>
        <v>NPK 04-30-10</v>
      </c>
      <c r="C32" s="19" t="s">
        <v>45</v>
      </c>
      <c r="D32" s="21" t="s">
        <v>318</v>
      </c>
      <c r="E32" s="25" t="s">
        <v>12</v>
      </c>
      <c r="F32" s="26">
        <f>IFERROR(VLOOKUP(A32,Itens!$A$2:$E$51,5,FALSE),0)</f>
        <v>4</v>
      </c>
      <c r="G32" s="25">
        <f>SUMIFS(Entradas!$H$2:$H$48,Entradas!$D$2:$D$48,A32)</f>
        <v>0</v>
      </c>
      <c r="H32" s="25">
        <f>SUMIFS(Saidas!$H$2:$H$71,Saidas!$D$2:$D$71,A32)</f>
        <v>0</v>
      </c>
      <c r="I32" s="25">
        <f t="shared" si="0"/>
        <v>0</v>
      </c>
      <c r="J32" s="27">
        <f>IFERROR(Tabela4[[#This Row],[Estoque Atual]]/Tabela4[[#This Row],[Entradas]],0)</f>
        <v>0</v>
      </c>
      <c r="K32" s="26">
        <f t="shared" si="1"/>
        <v>0</v>
      </c>
      <c r="L32" s="25">
        <f>SUMIFS(Pedidos_Compra!$J$2:$J$121,Pedidos_Compra!$D$2:$D$121,A32)</f>
        <v>0</v>
      </c>
      <c r="M32" s="25">
        <f t="shared" si="2"/>
        <v>0</v>
      </c>
      <c r="N32" s="26">
        <f t="shared" si="3"/>
        <v>0</v>
      </c>
    </row>
    <row r="33" spans="1:14" x14ac:dyDescent="0.25">
      <c r="A33" s="18" t="s">
        <v>47</v>
      </c>
      <c r="B33" s="20" t="str">
        <f>VLOOKUP(Tabela4[[#This Row],[COD_ID]],Itens!A:B,2,0)</f>
        <v>NPK 08-28-16</v>
      </c>
      <c r="C33" s="19" t="s">
        <v>45</v>
      </c>
      <c r="D33" s="21" t="s">
        <v>318</v>
      </c>
      <c r="E33" s="25" t="s">
        <v>12</v>
      </c>
      <c r="F33" s="26">
        <f>IFERROR(VLOOKUP(A33,Itens!$A$2:$E$51,5,FALSE),0)</f>
        <v>4.2</v>
      </c>
      <c r="G33" s="25">
        <f>SUMIFS(Entradas!$H$2:$H$48,Entradas!$D$2:$D$48,A33)</f>
        <v>6000</v>
      </c>
      <c r="H33" s="25">
        <f>SUMIFS(Saidas!$H$2:$H$71,Saidas!$D$2:$D$71,A33)</f>
        <v>2290</v>
      </c>
      <c r="I33" s="25">
        <f t="shared" si="0"/>
        <v>3710</v>
      </c>
      <c r="J33" s="27">
        <f>IFERROR(Tabela4[[#This Row],[Estoque Atual]]/Tabela4[[#This Row],[Entradas]],0)</f>
        <v>0.61833333333333329</v>
      </c>
      <c r="K33" s="26">
        <f t="shared" si="1"/>
        <v>15582</v>
      </c>
      <c r="L33" s="25">
        <f>SUMIFS(Pedidos_Compra!$J$2:$J$121,Pedidos_Compra!$D$2:$D$121,A33)</f>
        <v>2000</v>
      </c>
      <c r="M33" s="25">
        <f t="shared" si="2"/>
        <v>5710</v>
      </c>
      <c r="N33" s="26">
        <f t="shared" si="3"/>
        <v>23982</v>
      </c>
    </row>
    <row r="34" spans="1:14" x14ac:dyDescent="0.25">
      <c r="A34" s="18" t="s">
        <v>48</v>
      </c>
      <c r="B34" s="20" t="str">
        <f>VLOOKUP(Tabela4[[#This Row],[COD_ID]],Itens!A:B,2,0)</f>
        <v>Calcário dolomítico (PRNT alto)</v>
      </c>
      <c r="C34" s="19" t="s">
        <v>51</v>
      </c>
      <c r="D34" s="21" t="s">
        <v>319</v>
      </c>
      <c r="E34" s="25" t="s">
        <v>50</v>
      </c>
      <c r="F34" s="26">
        <f>IFERROR(VLOOKUP(A34,Itens!$A$2:$E$51,5,FALSE),0)</f>
        <v>180</v>
      </c>
      <c r="G34" s="25">
        <f>SUMIFS(Entradas!$H$2:$H$48,Entradas!$D$2:$D$48,A34)</f>
        <v>0</v>
      </c>
      <c r="H34" s="25">
        <f>SUMIFS(Saidas!$H$2:$H$71,Saidas!$D$2:$D$71,A34)</f>
        <v>0</v>
      </c>
      <c r="I34" s="25">
        <f t="shared" ref="I34:I51" si="4">G34-H34</f>
        <v>0</v>
      </c>
      <c r="J34" s="27">
        <f>IFERROR(Tabela4[[#This Row],[Estoque Atual]]/Tabela4[[#This Row],[Entradas]],0)</f>
        <v>0</v>
      </c>
      <c r="K34" s="26">
        <f t="shared" ref="K34:K51" si="5">I34*F34</f>
        <v>0</v>
      </c>
      <c r="L34" s="25">
        <f>SUMIFS(Pedidos_Compra!$J$2:$J$121,Pedidos_Compra!$D$2:$D$121,A34)</f>
        <v>0</v>
      </c>
      <c r="M34" s="25">
        <f t="shared" ref="M34:M51" si="6">I34+L34</f>
        <v>0</v>
      </c>
      <c r="N34" s="26">
        <f t="shared" ref="N34:N51" si="7">M34*F34</f>
        <v>0</v>
      </c>
    </row>
    <row r="35" spans="1:14" x14ac:dyDescent="0.25">
      <c r="A35" s="18" t="s">
        <v>52</v>
      </c>
      <c r="B35" s="20" t="str">
        <f>VLOOKUP(Tabela4[[#This Row],[COD_ID]],Itens!A:B,2,0)</f>
        <v>Calcário calcítico (PRNT alto)</v>
      </c>
      <c r="C35" s="19" t="s">
        <v>51</v>
      </c>
      <c r="D35" s="21" t="s">
        <v>319</v>
      </c>
      <c r="E35" s="25" t="s">
        <v>50</v>
      </c>
      <c r="F35" s="26">
        <f>IFERROR(VLOOKUP(A35,Itens!$A$2:$E$51,5,FALSE),0)</f>
        <v>160</v>
      </c>
      <c r="G35" s="25">
        <f>SUMIFS(Entradas!$H$2:$H$48,Entradas!$D$2:$D$48,A35)</f>
        <v>300</v>
      </c>
      <c r="H35" s="25">
        <f>SUMIFS(Saidas!$H$2:$H$71,Saidas!$D$2:$D$71,A35)</f>
        <v>163</v>
      </c>
      <c r="I35" s="25">
        <f t="shared" si="4"/>
        <v>137</v>
      </c>
      <c r="J35" s="27">
        <f>IFERROR(Tabela4[[#This Row],[Estoque Atual]]/Tabela4[[#This Row],[Entradas]],0)</f>
        <v>0.45666666666666667</v>
      </c>
      <c r="K35" s="26">
        <f t="shared" si="5"/>
        <v>21920</v>
      </c>
      <c r="L35" s="25">
        <f>SUMIFS(Pedidos_Compra!$J$2:$J$121,Pedidos_Compra!$D$2:$D$121,A35)</f>
        <v>54</v>
      </c>
      <c r="M35" s="25">
        <f t="shared" si="6"/>
        <v>191</v>
      </c>
      <c r="N35" s="26">
        <f t="shared" si="7"/>
        <v>30560</v>
      </c>
    </row>
    <row r="36" spans="1:14" x14ac:dyDescent="0.25">
      <c r="A36" s="18" t="s">
        <v>54</v>
      </c>
      <c r="B36" s="20" t="str">
        <f>VLOOKUP(Tabela4[[#This Row],[COD_ID]],Itens!A:B,2,0)</f>
        <v>Gesso agrícola (sulfato de cálcio)</v>
      </c>
      <c r="C36" s="19" t="s">
        <v>56</v>
      </c>
      <c r="D36" s="21" t="s">
        <v>319</v>
      </c>
      <c r="E36" s="25" t="s">
        <v>50</v>
      </c>
      <c r="F36" s="26">
        <f>IFERROR(VLOOKUP(A36,Itens!$A$2:$E$51,5,FALSE),0)</f>
        <v>210</v>
      </c>
      <c r="G36" s="25">
        <f>SUMIFS(Entradas!$H$2:$H$48,Entradas!$D$2:$D$48,A36)</f>
        <v>300</v>
      </c>
      <c r="H36" s="25">
        <f>SUMIFS(Saidas!$H$2:$H$71,Saidas!$D$2:$D$71,A36)</f>
        <v>0</v>
      </c>
      <c r="I36" s="25">
        <f t="shared" si="4"/>
        <v>300</v>
      </c>
      <c r="J36" s="27">
        <f>IFERROR(Tabela4[[#This Row],[Estoque Atual]]/Tabela4[[#This Row],[Entradas]],0)</f>
        <v>1</v>
      </c>
      <c r="K36" s="26">
        <f t="shared" si="5"/>
        <v>63000</v>
      </c>
      <c r="L36" s="25">
        <f>SUMIFS(Pedidos_Compra!$J$2:$J$121,Pedidos_Compra!$D$2:$D$121,A36)</f>
        <v>0</v>
      </c>
      <c r="M36" s="25">
        <f t="shared" si="6"/>
        <v>300</v>
      </c>
      <c r="N36" s="26">
        <f t="shared" si="7"/>
        <v>63000</v>
      </c>
    </row>
    <row r="37" spans="1:14" x14ac:dyDescent="0.25">
      <c r="A37" s="18" t="s">
        <v>57</v>
      </c>
      <c r="B37" s="20" t="str">
        <f>VLOOKUP(Tabela4[[#This Row],[COD_ID]],Itens!A:B,2,0)</f>
        <v>Cal virgem agrícola</v>
      </c>
      <c r="C37" s="19" t="s">
        <v>59</v>
      </c>
      <c r="D37" s="21" t="s">
        <v>318</v>
      </c>
      <c r="E37" s="25" t="s">
        <v>12</v>
      </c>
      <c r="F37" s="26">
        <f>IFERROR(VLOOKUP(A37,Itens!$A$2:$E$51,5,FALSE),0)</f>
        <v>1.2</v>
      </c>
      <c r="G37" s="25">
        <f>SUMIFS(Entradas!$H$2:$H$48,Entradas!$D$2:$D$48,A37)</f>
        <v>1000</v>
      </c>
      <c r="H37" s="25">
        <f>SUMIFS(Saidas!$H$2:$H$71,Saidas!$D$2:$D$71,A37)</f>
        <v>690</v>
      </c>
      <c r="I37" s="25">
        <f t="shared" si="4"/>
        <v>310</v>
      </c>
      <c r="J37" s="27">
        <f>IFERROR(Tabela4[[#This Row],[Estoque Atual]]/Tabela4[[#This Row],[Entradas]],0)</f>
        <v>0.31</v>
      </c>
      <c r="K37" s="26">
        <f t="shared" si="5"/>
        <v>372</v>
      </c>
      <c r="L37" s="25">
        <f>SUMIFS(Pedidos_Compra!$J$2:$J$121,Pedidos_Compra!$D$2:$D$121,A37)</f>
        <v>0</v>
      </c>
      <c r="M37" s="25">
        <f t="shared" si="6"/>
        <v>310</v>
      </c>
      <c r="N37" s="26">
        <f t="shared" si="7"/>
        <v>372</v>
      </c>
    </row>
    <row r="38" spans="1:14" x14ac:dyDescent="0.25">
      <c r="A38" s="18" t="s">
        <v>60</v>
      </c>
      <c r="B38" s="20" t="str">
        <f>VLOOKUP(Tabela4[[#This Row],[COD_ID]],Itens!A:B,2,0)</f>
        <v>Cal hidratada agrícola</v>
      </c>
      <c r="C38" s="19" t="s">
        <v>59</v>
      </c>
      <c r="D38" s="21" t="s">
        <v>318</v>
      </c>
      <c r="E38" s="25" t="s">
        <v>12</v>
      </c>
      <c r="F38" s="26">
        <f>IFERROR(VLOOKUP(A38,Itens!$A$2:$E$51,5,FALSE),0)</f>
        <v>0.95</v>
      </c>
      <c r="G38" s="25">
        <f>SUMIFS(Entradas!$H$2:$H$48,Entradas!$D$2:$D$48,A38)</f>
        <v>0</v>
      </c>
      <c r="H38" s="25">
        <f>SUMIFS(Saidas!$H$2:$H$71,Saidas!$D$2:$D$71,A38)</f>
        <v>0</v>
      </c>
      <c r="I38" s="25">
        <f t="shared" si="4"/>
        <v>0</v>
      </c>
      <c r="J38" s="27">
        <f>IFERROR(Tabela4[[#This Row],[Estoque Atual]]/Tabela4[[#This Row],[Entradas]],0)</f>
        <v>0</v>
      </c>
      <c r="K38" s="26">
        <f t="shared" si="5"/>
        <v>0</v>
      </c>
      <c r="L38" s="25">
        <f>SUMIFS(Pedidos_Compra!$J$2:$J$121,Pedidos_Compra!$D$2:$D$121,A38)</f>
        <v>0</v>
      </c>
      <c r="M38" s="25">
        <f t="shared" si="6"/>
        <v>0</v>
      </c>
      <c r="N38" s="26">
        <f t="shared" si="7"/>
        <v>0</v>
      </c>
    </row>
    <row r="39" spans="1:14" x14ac:dyDescent="0.25">
      <c r="A39" s="18" t="s">
        <v>62</v>
      </c>
      <c r="B39" s="20" t="str">
        <f>VLOOKUP(Tabela4[[#This Row],[COD_ID]],Itens!A:B,2,0)</f>
        <v>Fonte de Cálcio – Nitrato de cálcio</v>
      </c>
      <c r="C39" s="19" t="s">
        <v>64</v>
      </c>
      <c r="D39" s="21" t="s">
        <v>318</v>
      </c>
      <c r="E39" s="25" t="s">
        <v>12</v>
      </c>
      <c r="F39" s="26">
        <f>IFERROR(VLOOKUP(A39,Itens!$A$2:$E$51,5,FALSE),0)</f>
        <v>5.5</v>
      </c>
      <c r="G39" s="25">
        <f>SUMIFS(Entradas!$H$2:$H$48,Entradas!$D$2:$D$48,A39)</f>
        <v>10</v>
      </c>
      <c r="H39" s="25">
        <f>SUMIFS(Saidas!$H$2:$H$71,Saidas!$D$2:$D$71,A39)</f>
        <v>3.92</v>
      </c>
      <c r="I39" s="25">
        <f t="shared" si="4"/>
        <v>6.08</v>
      </c>
      <c r="J39" s="27">
        <f>IFERROR(Tabela4[[#This Row],[Estoque Atual]]/Tabela4[[#This Row],[Entradas]],0)</f>
        <v>0.60799999999999998</v>
      </c>
      <c r="K39" s="26">
        <f t="shared" si="5"/>
        <v>33.44</v>
      </c>
      <c r="L39" s="25">
        <f>SUMIFS(Pedidos_Compra!$J$2:$J$121,Pedidos_Compra!$D$2:$D$121,A39)</f>
        <v>0</v>
      </c>
      <c r="M39" s="25">
        <f t="shared" si="6"/>
        <v>6.08</v>
      </c>
      <c r="N39" s="26">
        <f t="shared" si="7"/>
        <v>33.44</v>
      </c>
    </row>
    <row r="40" spans="1:14" x14ac:dyDescent="0.25">
      <c r="A40" s="18" t="s">
        <v>65</v>
      </c>
      <c r="B40" s="20" t="str">
        <f>VLOOKUP(Tabela4[[#This Row],[COD_ID]],Itens!A:B,2,0)</f>
        <v>Fonte de Cálcio – Cloreto de cálcio</v>
      </c>
      <c r="C40" s="19" t="s">
        <v>64</v>
      </c>
      <c r="D40" s="21" t="s">
        <v>318</v>
      </c>
      <c r="E40" s="25" t="s">
        <v>12</v>
      </c>
      <c r="F40" s="26">
        <f>IFERROR(VLOOKUP(A40,Itens!$A$2:$E$51,5,FALSE),0)</f>
        <v>4</v>
      </c>
      <c r="G40" s="25">
        <f>SUMIFS(Entradas!$H$2:$H$48,Entradas!$D$2:$D$48,A40)</f>
        <v>0</v>
      </c>
      <c r="H40" s="25">
        <f>SUMIFS(Saidas!$H$2:$H$71,Saidas!$D$2:$D$71,A40)</f>
        <v>0</v>
      </c>
      <c r="I40" s="25">
        <f t="shared" si="4"/>
        <v>0</v>
      </c>
      <c r="J40" s="27">
        <f>IFERROR(Tabela4[[#This Row],[Estoque Atual]]/Tabela4[[#This Row],[Entradas]],0)</f>
        <v>0</v>
      </c>
      <c r="K40" s="26">
        <f t="shared" si="5"/>
        <v>0</v>
      </c>
      <c r="L40" s="25">
        <f>SUMIFS(Pedidos_Compra!$J$2:$J$121,Pedidos_Compra!$D$2:$D$121,A40)</f>
        <v>0</v>
      </c>
      <c r="M40" s="25">
        <f t="shared" si="6"/>
        <v>0</v>
      </c>
      <c r="N40" s="26">
        <f t="shared" si="7"/>
        <v>0</v>
      </c>
    </row>
    <row r="41" spans="1:14" x14ac:dyDescent="0.25">
      <c r="A41" s="18" t="s">
        <v>67</v>
      </c>
      <c r="B41" s="20" t="str">
        <f>VLOOKUP(Tabela4[[#This Row],[COD_ID]],Itens!A:B,2,0)</f>
        <v>Boro (B) granulado</v>
      </c>
      <c r="C41" s="19" t="s">
        <v>68</v>
      </c>
      <c r="D41" s="21" t="s">
        <v>318</v>
      </c>
      <c r="E41" s="25" t="s">
        <v>12</v>
      </c>
      <c r="F41" s="26">
        <f>IFERROR(VLOOKUP(A41,Itens!$A$2:$E$51,5,FALSE),0)</f>
        <v>12</v>
      </c>
      <c r="G41" s="25">
        <f>SUMIFS(Entradas!$H$2:$H$48,Entradas!$D$2:$D$48,A41)</f>
        <v>50</v>
      </c>
      <c r="H41" s="25">
        <f>SUMIFS(Saidas!$H$2:$H$71,Saidas!$D$2:$D$71,A41)</f>
        <v>39.49</v>
      </c>
      <c r="I41" s="25">
        <f t="shared" si="4"/>
        <v>10.509999999999998</v>
      </c>
      <c r="J41" s="27">
        <f>IFERROR(Tabela4[[#This Row],[Estoque Atual]]/Tabela4[[#This Row],[Entradas]],0)</f>
        <v>0.21019999999999997</v>
      </c>
      <c r="K41" s="26">
        <f t="shared" si="5"/>
        <v>126.11999999999998</v>
      </c>
      <c r="L41" s="25">
        <f>SUMIFS(Pedidos_Compra!$J$2:$J$121,Pedidos_Compra!$D$2:$D$121,A41)</f>
        <v>0</v>
      </c>
      <c r="M41" s="25">
        <f t="shared" si="6"/>
        <v>10.509999999999998</v>
      </c>
      <c r="N41" s="26">
        <f t="shared" si="7"/>
        <v>126.11999999999998</v>
      </c>
    </row>
    <row r="42" spans="1:14" x14ac:dyDescent="0.25">
      <c r="A42" s="18" t="s">
        <v>69</v>
      </c>
      <c r="B42" s="20" t="str">
        <f>VLOOKUP(Tabela4[[#This Row],[COD_ID]],Itens!A:B,2,0)</f>
        <v>Zinco (Zn) granulado</v>
      </c>
      <c r="C42" s="19" t="s">
        <v>68</v>
      </c>
      <c r="D42" s="21" t="s">
        <v>318</v>
      </c>
      <c r="E42" s="25" t="s">
        <v>12</v>
      </c>
      <c r="F42" s="26">
        <f>IFERROR(VLOOKUP(A42,Itens!$A$2:$E$51,5,FALSE),0)</f>
        <v>14</v>
      </c>
      <c r="G42" s="25">
        <f>SUMIFS(Entradas!$H$2:$H$48,Entradas!$D$2:$D$48,A42)</f>
        <v>80</v>
      </c>
      <c r="H42" s="25">
        <f>SUMIFS(Saidas!$H$2:$H$71,Saidas!$D$2:$D$71,A42)</f>
        <v>59.25</v>
      </c>
      <c r="I42" s="25">
        <f t="shared" si="4"/>
        <v>20.75</v>
      </c>
      <c r="J42" s="27">
        <f>IFERROR(Tabela4[[#This Row],[Estoque Atual]]/Tabela4[[#This Row],[Entradas]],0)</f>
        <v>0.25937500000000002</v>
      </c>
      <c r="K42" s="26">
        <f t="shared" si="5"/>
        <v>290.5</v>
      </c>
      <c r="L42" s="25">
        <f>SUMIFS(Pedidos_Compra!$J$2:$J$121,Pedidos_Compra!$D$2:$D$121,A42)</f>
        <v>0</v>
      </c>
      <c r="M42" s="25">
        <f t="shared" si="6"/>
        <v>20.75</v>
      </c>
      <c r="N42" s="26">
        <f t="shared" si="7"/>
        <v>290.5</v>
      </c>
    </row>
    <row r="43" spans="1:14" x14ac:dyDescent="0.25">
      <c r="A43" s="18" t="s">
        <v>70</v>
      </c>
      <c r="B43" s="20" t="str">
        <f>VLOOKUP(Tabela4[[#This Row],[COD_ID]],Itens!A:B,2,0)</f>
        <v>Manganês (Mn)</v>
      </c>
      <c r="C43" s="19" t="s">
        <v>68</v>
      </c>
      <c r="D43" s="21" t="s">
        <v>318</v>
      </c>
      <c r="E43" s="25" t="s">
        <v>12</v>
      </c>
      <c r="F43" s="26">
        <f>IFERROR(VLOOKUP(A43,Itens!$A$2:$E$51,5,FALSE),0)</f>
        <v>10</v>
      </c>
      <c r="G43" s="25">
        <f>SUMIFS(Entradas!$H$2:$H$48,Entradas!$D$2:$D$48,A43)</f>
        <v>100</v>
      </c>
      <c r="H43" s="25">
        <f>SUMIFS(Saidas!$H$2:$H$71,Saidas!$D$2:$D$71,A43)</f>
        <v>43.39</v>
      </c>
      <c r="I43" s="25">
        <f t="shared" si="4"/>
        <v>56.61</v>
      </c>
      <c r="J43" s="27">
        <f>IFERROR(Tabela4[[#This Row],[Estoque Atual]]/Tabela4[[#This Row],[Entradas]],0)</f>
        <v>0.56610000000000005</v>
      </c>
      <c r="K43" s="26">
        <f t="shared" si="5"/>
        <v>566.1</v>
      </c>
      <c r="L43" s="25">
        <f>SUMIFS(Pedidos_Compra!$J$2:$J$121,Pedidos_Compra!$D$2:$D$121,A43)</f>
        <v>0</v>
      </c>
      <c r="M43" s="25">
        <f t="shared" si="6"/>
        <v>56.61</v>
      </c>
      <c r="N43" s="26">
        <f t="shared" si="7"/>
        <v>566.1</v>
      </c>
    </row>
    <row r="44" spans="1:14" x14ac:dyDescent="0.25">
      <c r="A44" s="18" t="s">
        <v>71</v>
      </c>
      <c r="B44" s="20" t="str">
        <f>VLOOKUP(Tabela4[[#This Row],[COD_ID]],Itens!A:B,2,0)</f>
        <v>Cobre (Cu)</v>
      </c>
      <c r="C44" s="19" t="s">
        <v>68</v>
      </c>
      <c r="D44" s="21" t="s">
        <v>318</v>
      </c>
      <c r="E44" s="25" t="s">
        <v>12</v>
      </c>
      <c r="F44" s="26">
        <f>IFERROR(VLOOKUP(A44,Itens!$A$2:$E$51,5,FALSE),0)</f>
        <v>25</v>
      </c>
      <c r="G44" s="25">
        <f>SUMIFS(Entradas!$H$2:$H$48,Entradas!$D$2:$D$48,A44)</f>
        <v>80</v>
      </c>
      <c r="H44" s="25">
        <f>SUMIFS(Saidas!$H$2:$H$71,Saidas!$D$2:$D$71,A44)</f>
        <v>0</v>
      </c>
      <c r="I44" s="25">
        <f t="shared" si="4"/>
        <v>80</v>
      </c>
      <c r="J44" s="27">
        <f>IFERROR(Tabela4[[#This Row],[Estoque Atual]]/Tabela4[[#This Row],[Entradas]],0)</f>
        <v>1</v>
      </c>
      <c r="K44" s="26">
        <f t="shared" si="5"/>
        <v>2000</v>
      </c>
      <c r="L44" s="25">
        <f>SUMIFS(Pedidos_Compra!$J$2:$J$121,Pedidos_Compra!$D$2:$D$121,A44)</f>
        <v>44.98</v>
      </c>
      <c r="M44" s="25">
        <f t="shared" si="6"/>
        <v>124.97999999999999</v>
      </c>
      <c r="N44" s="26">
        <f t="shared" si="7"/>
        <v>3124.4999999999995</v>
      </c>
    </row>
    <row r="45" spans="1:14" x14ac:dyDescent="0.25">
      <c r="A45" s="18" t="s">
        <v>72</v>
      </c>
      <c r="B45" s="20" t="str">
        <f>VLOOKUP(Tabela4[[#This Row],[COD_ID]],Itens!A:B,2,0)</f>
        <v>Mistura de micronutrientes (B+Zn+Mn+Cu)</v>
      </c>
      <c r="C45" s="19" t="s">
        <v>68</v>
      </c>
      <c r="D45" s="21" t="s">
        <v>318</v>
      </c>
      <c r="E45" s="25" t="s">
        <v>12</v>
      </c>
      <c r="F45" s="26">
        <f>IFERROR(VLOOKUP(A45,Itens!$A$2:$E$51,5,FALSE),0)</f>
        <v>18</v>
      </c>
      <c r="G45" s="25">
        <f>SUMIFS(Entradas!$H$2:$H$48,Entradas!$D$2:$D$48,A45)</f>
        <v>250</v>
      </c>
      <c r="H45" s="25">
        <f>SUMIFS(Saidas!$H$2:$H$71,Saidas!$D$2:$D$71,A45)</f>
        <v>193.79</v>
      </c>
      <c r="I45" s="25">
        <f t="shared" si="4"/>
        <v>56.210000000000008</v>
      </c>
      <c r="J45" s="27">
        <f>IFERROR(Tabela4[[#This Row],[Estoque Atual]]/Tabela4[[#This Row],[Entradas]],0)</f>
        <v>0.22484000000000004</v>
      </c>
      <c r="K45" s="26">
        <f t="shared" si="5"/>
        <v>1011.7800000000002</v>
      </c>
      <c r="L45" s="25">
        <f>SUMIFS(Pedidos_Compra!$J$2:$J$121,Pedidos_Compra!$D$2:$D$121,A45)</f>
        <v>24.77</v>
      </c>
      <c r="M45" s="25">
        <f t="shared" si="6"/>
        <v>80.98</v>
      </c>
      <c r="N45" s="26">
        <f t="shared" si="7"/>
        <v>1457.64</v>
      </c>
    </row>
    <row r="46" spans="1:14" x14ac:dyDescent="0.25">
      <c r="A46" s="18" t="s">
        <v>74</v>
      </c>
      <c r="B46" s="20" t="str">
        <f>VLOOKUP(Tabela4[[#This Row],[COD_ID]],Itens!A:B,2,0)</f>
        <v>Azospirillum brasilense (líquido)</v>
      </c>
      <c r="C46" s="19" t="s">
        <v>75</v>
      </c>
      <c r="D46" s="21" t="s">
        <v>317</v>
      </c>
      <c r="E46" s="25" t="s">
        <v>5</v>
      </c>
      <c r="F46" s="26">
        <f>IFERROR(VLOOKUP(A46,Itens!$A$2:$E$51,5,FALSE),0)</f>
        <v>45</v>
      </c>
      <c r="G46" s="25">
        <f>SUMIFS(Entradas!$H$2:$H$48,Entradas!$D$2:$D$48,A46)</f>
        <v>50</v>
      </c>
      <c r="H46" s="25">
        <f>SUMIFS(Saidas!$H$2:$H$71,Saidas!$D$2:$D$71,A46)</f>
        <v>26.55</v>
      </c>
      <c r="I46" s="25">
        <f t="shared" si="4"/>
        <v>23.45</v>
      </c>
      <c r="J46" s="27">
        <f>IFERROR(Tabela4[[#This Row],[Estoque Atual]]/Tabela4[[#This Row],[Entradas]],0)</f>
        <v>0.46899999999999997</v>
      </c>
      <c r="K46" s="26">
        <f t="shared" si="5"/>
        <v>1055.25</v>
      </c>
      <c r="L46" s="25">
        <f>SUMIFS(Pedidos_Compra!$J$2:$J$121,Pedidos_Compra!$D$2:$D$121,A46)</f>
        <v>0</v>
      </c>
      <c r="M46" s="25">
        <f t="shared" si="6"/>
        <v>23.45</v>
      </c>
      <c r="N46" s="26">
        <f t="shared" si="7"/>
        <v>1055.25</v>
      </c>
    </row>
    <row r="47" spans="1:14" x14ac:dyDescent="0.25">
      <c r="A47" s="18" t="s">
        <v>76</v>
      </c>
      <c r="B47" s="20" t="str">
        <f>VLOOKUP(Tabela4[[#This Row],[COD_ID]],Itens!A:B,2,0)</f>
        <v>Bacillus spp. promotor de crescimento</v>
      </c>
      <c r="C47" s="19" t="s">
        <v>75</v>
      </c>
      <c r="D47" s="21" t="s">
        <v>318</v>
      </c>
      <c r="E47" s="25" t="s">
        <v>12</v>
      </c>
      <c r="F47" s="26">
        <f>IFERROR(VLOOKUP(A47,Itens!$A$2:$E$51,5,FALSE),0)</f>
        <v>120</v>
      </c>
      <c r="G47" s="25">
        <f>SUMIFS(Entradas!$H$2:$H$48,Entradas!$D$2:$D$48,A47)</f>
        <v>60</v>
      </c>
      <c r="H47" s="25">
        <f>SUMIFS(Saidas!$H$2:$H$71,Saidas!$D$2:$D$71,A47)</f>
        <v>38.769999999999996</v>
      </c>
      <c r="I47" s="25">
        <f t="shared" si="4"/>
        <v>21.230000000000004</v>
      </c>
      <c r="J47" s="27">
        <f>IFERROR(Tabela4[[#This Row],[Estoque Atual]]/Tabela4[[#This Row],[Entradas]],0)</f>
        <v>0.35383333333333339</v>
      </c>
      <c r="K47" s="26">
        <f t="shared" si="5"/>
        <v>2547.6000000000004</v>
      </c>
      <c r="L47" s="25">
        <f>SUMIFS(Pedidos_Compra!$J$2:$J$121,Pedidos_Compra!$D$2:$D$121,A47)</f>
        <v>20</v>
      </c>
      <c r="M47" s="25">
        <f t="shared" si="6"/>
        <v>41.230000000000004</v>
      </c>
      <c r="N47" s="26">
        <f t="shared" si="7"/>
        <v>4947.6000000000004</v>
      </c>
    </row>
    <row r="48" spans="1:14" x14ac:dyDescent="0.25">
      <c r="A48" s="18" t="s">
        <v>77</v>
      </c>
      <c r="B48" s="20" t="str">
        <f>VLOOKUP(Tabela4[[#This Row],[COD_ID]],Itens!A:B,2,0)</f>
        <v>Composto orgânico (granulado)</v>
      </c>
      <c r="C48" s="19" t="s">
        <v>78</v>
      </c>
      <c r="D48" s="21" t="s">
        <v>318</v>
      </c>
      <c r="E48" s="25" t="s">
        <v>12</v>
      </c>
      <c r="F48" s="26">
        <f>IFERROR(VLOOKUP(A48,Itens!$A$2:$E$51,5,FALSE),0)</f>
        <v>1.2</v>
      </c>
      <c r="G48" s="25">
        <f>SUMIFS(Entradas!$H$2:$H$48,Entradas!$D$2:$D$48,A48)</f>
        <v>9000</v>
      </c>
      <c r="H48" s="25">
        <f>SUMIFS(Saidas!$H$2:$H$71,Saidas!$D$2:$D$71,A48)</f>
        <v>5380</v>
      </c>
      <c r="I48" s="25">
        <f t="shared" si="4"/>
        <v>3620</v>
      </c>
      <c r="J48" s="27">
        <f>IFERROR(Tabela4[[#This Row],[Estoque Atual]]/Tabela4[[#This Row],[Entradas]],0)</f>
        <v>0.4022222222222222</v>
      </c>
      <c r="K48" s="26">
        <f t="shared" si="5"/>
        <v>4344</v>
      </c>
      <c r="L48" s="25">
        <f>SUMIFS(Pedidos_Compra!$J$2:$J$121,Pedidos_Compra!$D$2:$D$121,A48)</f>
        <v>0</v>
      </c>
      <c r="M48" s="25">
        <f t="shared" si="6"/>
        <v>3620</v>
      </c>
      <c r="N48" s="26">
        <f t="shared" si="7"/>
        <v>4344</v>
      </c>
    </row>
    <row r="49" spans="1:14" x14ac:dyDescent="0.25">
      <c r="A49" s="18" t="s">
        <v>79</v>
      </c>
      <c r="B49" s="20" t="str">
        <f>VLOOKUP(Tabela4[[#This Row],[COD_ID]],Itens!A:B,2,0)</f>
        <v>Fertilizante organomineral NPK (formulação padrão)</v>
      </c>
      <c r="C49" s="19" t="s">
        <v>78</v>
      </c>
      <c r="D49" s="21" t="s">
        <v>318</v>
      </c>
      <c r="E49" s="25" t="s">
        <v>12</v>
      </c>
      <c r="F49" s="26">
        <f>IFERROR(VLOOKUP(A49,Itens!$A$2:$E$51,5,FALSE),0)</f>
        <v>2.8</v>
      </c>
      <c r="G49" s="25">
        <f>SUMIFS(Entradas!$H$2:$H$48,Entradas!$D$2:$D$48,A49)</f>
        <v>10000</v>
      </c>
      <c r="H49" s="25">
        <f>SUMIFS(Saidas!$H$2:$H$71,Saidas!$D$2:$D$71,A49)</f>
        <v>6080</v>
      </c>
      <c r="I49" s="25">
        <f t="shared" si="4"/>
        <v>3920</v>
      </c>
      <c r="J49" s="27">
        <f>IFERROR(Tabela4[[#This Row],[Estoque Atual]]/Tabela4[[#This Row],[Entradas]],0)</f>
        <v>0.39200000000000002</v>
      </c>
      <c r="K49" s="26">
        <f t="shared" si="5"/>
        <v>10976</v>
      </c>
      <c r="L49" s="25">
        <f>SUMIFS(Pedidos_Compra!$J$2:$J$121,Pedidos_Compra!$D$2:$D$121,A49)</f>
        <v>0</v>
      </c>
      <c r="M49" s="25">
        <f t="shared" si="6"/>
        <v>3920</v>
      </c>
      <c r="N49" s="26">
        <f t="shared" si="7"/>
        <v>10976</v>
      </c>
    </row>
    <row r="50" spans="1:14" x14ac:dyDescent="0.25">
      <c r="A50" s="18" t="s">
        <v>81</v>
      </c>
      <c r="B50" s="20" t="str">
        <f>VLOOKUP(Tabela4[[#This Row],[COD_ID]],Itens!A:B,2,0)</f>
        <v>Óleo mineral emulsionável</v>
      </c>
      <c r="C50" s="19" t="s">
        <v>82</v>
      </c>
      <c r="D50" s="21" t="s">
        <v>317</v>
      </c>
      <c r="E50" s="25" t="s">
        <v>5</v>
      </c>
      <c r="F50" s="26">
        <f>IFERROR(VLOOKUP(A50,Itens!$A$2:$E$51,5,FALSE),0)</f>
        <v>20</v>
      </c>
      <c r="G50" s="25">
        <f>SUMIFS(Entradas!$H$2:$H$48,Entradas!$D$2:$D$48,A50)</f>
        <v>80</v>
      </c>
      <c r="H50" s="25">
        <f>SUMIFS(Saidas!$H$2:$H$71,Saidas!$D$2:$D$71,A50)</f>
        <v>58.33</v>
      </c>
      <c r="I50" s="25">
        <f t="shared" si="4"/>
        <v>21.67</v>
      </c>
      <c r="J50" s="27">
        <f>IFERROR(Tabela4[[#This Row],[Estoque Atual]]/Tabela4[[#This Row],[Entradas]],0)</f>
        <v>0.27087500000000003</v>
      </c>
      <c r="K50" s="26">
        <f t="shared" si="5"/>
        <v>433.40000000000003</v>
      </c>
      <c r="L50" s="25">
        <f>SUMIFS(Pedidos_Compra!$J$2:$J$121,Pedidos_Compra!$D$2:$D$121,A50)</f>
        <v>0</v>
      </c>
      <c r="M50" s="25">
        <f t="shared" si="6"/>
        <v>21.67</v>
      </c>
      <c r="N50" s="26">
        <f t="shared" si="7"/>
        <v>433.40000000000003</v>
      </c>
    </row>
    <row r="51" spans="1:14" x14ac:dyDescent="0.25">
      <c r="A51" s="18" t="s">
        <v>83</v>
      </c>
      <c r="B51" s="20" t="str">
        <f>VLOOKUP(Tabela4[[#This Row],[COD_ID]],Itens!A:B,2,0)</f>
        <v>Espalhante adesivo não iônico</v>
      </c>
      <c r="C51" s="19" t="s">
        <v>82</v>
      </c>
      <c r="D51" s="21" t="s">
        <v>317</v>
      </c>
      <c r="E51" s="25" t="s">
        <v>5</v>
      </c>
      <c r="F51" s="26">
        <f>IFERROR(VLOOKUP(A51,Itens!$A$2:$E$51,5,FALSE),0)</f>
        <v>35</v>
      </c>
      <c r="G51" s="25">
        <f>SUMIFS(Entradas!$H$2:$H$48,Entradas!$D$2:$D$48,A51)</f>
        <v>150</v>
      </c>
      <c r="H51" s="25">
        <f>SUMIFS(Saidas!$H$2:$H$71,Saidas!$D$2:$D$71,A51)</f>
        <v>127.25</v>
      </c>
      <c r="I51" s="25">
        <f t="shared" si="4"/>
        <v>22.75</v>
      </c>
      <c r="J51" s="27">
        <f>IFERROR(Tabela4[[#This Row],[Estoque Atual]]/Tabela4[[#This Row],[Entradas]],0)</f>
        <v>0.15166666666666667</v>
      </c>
      <c r="K51" s="26">
        <f t="shared" si="5"/>
        <v>796.25</v>
      </c>
      <c r="L51" s="25">
        <f>SUMIFS(Pedidos_Compra!$J$2:$J$121,Pedidos_Compra!$D$2:$D$121,A51)</f>
        <v>0</v>
      </c>
      <c r="M51" s="25">
        <f t="shared" si="6"/>
        <v>22.75</v>
      </c>
      <c r="N51" s="26">
        <f t="shared" si="7"/>
        <v>796.25</v>
      </c>
    </row>
  </sheetData>
  <conditionalFormatting sqref="J1:J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{FE8557DA-08AC-43BA-BEF2-DB5CCC1DD860}</x14:id>
        </ext>
      </extLst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8557DA-08AC-43BA-BEF2-DB5CCC1DD8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Itens</vt:lpstr>
      <vt:lpstr>Entradas</vt:lpstr>
      <vt:lpstr>Saidas</vt:lpstr>
      <vt:lpstr>Pedidos_Compra</vt:lpstr>
      <vt:lpstr>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Mariélio R.Fernandes</cp:lastModifiedBy>
  <dcterms:created xsi:type="dcterms:W3CDTF">2026-01-18T23:38:58Z</dcterms:created>
  <dcterms:modified xsi:type="dcterms:W3CDTF">2026-01-20T00:03:53Z</dcterms:modified>
</cp:coreProperties>
</file>